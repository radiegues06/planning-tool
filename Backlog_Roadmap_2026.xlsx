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onsultor Noorden\Desktop\planning-tool\"/>
    </mc:Choice>
  </mc:AlternateContent>
  <xr:revisionPtr revIDLastSave="0" documentId="13_ncr:1_{A541FFC9-54AD-464E-8152-FBB0FF2E6478}" xr6:coauthVersionLast="47" xr6:coauthVersionMax="47" xr10:uidLastSave="{00000000-0000-0000-0000-000000000000}"/>
  <bookViews>
    <workbookView xWindow="-120" yWindow="-120" windowWidth="20730" windowHeight="11040" tabRatio="466" xr2:uid="{00000000-000D-0000-FFFF-FFFF00000000}"/>
  </bookViews>
  <sheets>
    <sheet name="Backlog" sheetId="2" r:id="rId1"/>
    <sheet name="Capacity_Velocity(horas)" sheetId="1" r:id="rId2"/>
  </sheets>
  <definedNames>
    <definedName name="_xlnm._FilterDatabase" localSheetId="0" hidden="1">Backlog!$A$1:$L$53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6" i="2" l="1"/>
  <c r="I16" i="2"/>
  <c r="K16" i="2" s="1"/>
  <c r="I17" i="2"/>
  <c r="K17" i="2" s="1"/>
  <c r="I27" i="2"/>
  <c r="K27" i="2" s="1"/>
  <c r="I8" i="2"/>
  <c r="K8" i="2" s="1"/>
  <c r="I47" i="2"/>
  <c r="K47" i="2" s="1"/>
  <c r="I2" i="2"/>
  <c r="K2" i="2" s="1"/>
  <c r="I5" i="2"/>
  <c r="K5" i="2" s="1"/>
  <c r="I43" i="2"/>
  <c r="K43" i="2" s="1"/>
  <c r="I53" i="2"/>
  <c r="K53" i="2" s="1"/>
  <c r="I35" i="2"/>
  <c r="K35" i="2" s="1"/>
  <c r="I36" i="2"/>
  <c r="K36" i="2" s="1"/>
  <c r="I39" i="2"/>
  <c r="K39" i="2" s="1"/>
  <c r="I37" i="2"/>
  <c r="K37" i="2" s="1"/>
  <c r="I46" i="2"/>
  <c r="I52" i="2"/>
  <c r="K52" i="2" s="1"/>
  <c r="I40" i="2"/>
  <c r="K40" i="2" s="1"/>
  <c r="I41" i="2"/>
  <c r="K41" i="2" s="1"/>
  <c r="I38" i="2"/>
  <c r="K38" i="2" s="1"/>
  <c r="I44" i="2"/>
  <c r="K44" i="2" s="1"/>
  <c r="I42" i="2"/>
  <c r="K42" i="2" s="1"/>
  <c r="I51" i="2"/>
  <c r="K51" i="2" s="1"/>
  <c r="I49" i="2"/>
  <c r="K49" i="2" s="1"/>
  <c r="I48" i="2"/>
  <c r="K48" i="2" s="1"/>
  <c r="I45" i="2"/>
  <c r="K45" i="2" s="1"/>
  <c r="I50" i="2"/>
  <c r="K50" i="2" s="1"/>
  <c r="I23" i="2"/>
  <c r="K23" i="2" s="1"/>
  <c r="I18" i="2"/>
  <c r="K18" i="2" s="1"/>
  <c r="I32" i="2"/>
  <c r="K32" i="2" s="1"/>
  <c r="I29" i="2"/>
  <c r="K29" i="2" s="1"/>
  <c r="I31" i="2"/>
  <c r="K31" i="2" s="1"/>
  <c r="I11" i="2"/>
  <c r="K11" i="2" s="1"/>
  <c r="I12" i="2"/>
  <c r="K12" i="2" s="1"/>
  <c r="I13" i="2"/>
  <c r="K13" i="2" s="1"/>
  <c r="I14" i="2"/>
  <c r="K14" i="2" s="1"/>
  <c r="I33" i="2"/>
  <c r="K33" i="2" s="1"/>
  <c r="I25" i="2"/>
  <c r="K25" i="2" s="1"/>
  <c r="I7" i="2"/>
  <c r="K7" i="2" s="1"/>
  <c r="I21" i="2"/>
  <c r="K21" i="2" s="1"/>
  <c r="I3" i="2"/>
  <c r="K3" i="2" s="1"/>
  <c r="I19" i="2"/>
  <c r="K19" i="2" s="1"/>
  <c r="I20" i="2"/>
  <c r="K20" i="2" s="1"/>
  <c r="I22" i="2"/>
  <c r="K22" i="2" s="1"/>
  <c r="I34" i="2"/>
  <c r="K34" i="2" s="1"/>
  <c r="I6" i="2"/>
  <c r="K6" i="2" s="1"/>
  <c r="I10" i="2"/>
  <c r="K10" i="2" s="1"/>
  <c r="I15" i="2"/>
  <c r="K15" i="2" s="1"/>
  <c r="I28" i="2"/>
  <c r="K28" i="2" s="1"/>
  <c r="I30" i="2"/>
  <c r="K30" i="2" s="1"/>
  <c r="I26" i="2"/>
  <c r="K26" i="2" s="1"/>
  <c r="I4" i="2"/>
  <c r="K4" i="2" s="1"/>
  <c r="F9" i="2"/>
  <c r="I9" i="2" s="1"/>
  <c r="K9" i="2" s="1"/>
  <c r="H21" i="2"/>
  <c r="F21" i="2"/>
  <c r="I24" i="2"/>
  <c r="K24" i="2" s="1"/>
  <c r="E14" i="1"/>
  <c r="E13" i="1"/>
  <c r="E12" i="1"/>
  <c r="C21" i="1"/>
  <c r="D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tc={5050488C-96D1-43A8-9998-3148830ABB2C}</author>
  </authors>
  <commentList>
    <comment ref="C53" authorId="0" shapeId="0" xr:uid="{5050488C-96D1-43A8-9998-3148830ABB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 princípio, não será realizado, dada sistematização e integração</t>
      </text>
    </comment>
  </commentList>
</comments>
</file>

<file path=xl/sharedStrings.xml><?xml version="1.0" encoding="utf-8"?>
<sst xmlns="http://schemas.openxmlformats.org/spreadsheetml/2006/main" count="241" uniqueCount="106">
  <si>
    <t>Indicadores</t>
  </si>
  <si>
    <t>Épicos</t>
  </si>
  <si>
    <t>Features</t>
  </si>
  <si>
    <t>Origem</t>
  </si>
  <si>
    <t>Esforço DE</t>
  </si>
  <si>
    <t>Esforço DS</t>
  </si>
  <si>
    <t>Esforço FE</t>
  </si>
  <si>
    <t>Esforço PO</t>
  </si>
  <si>
    <t>Esforço Total</t>
  </si>
  <si>
    <t>Priorização</t>
  </si>
  <si>
    <t>Score</t>
  </si>
  <si>
    <t>Mês sugerido</t>
  </si>
  <si>
    <t>Aderência</t>
  </si>
  <si>
    <t xml:space="preserve">Visibilidade de idicadoes de Aderência </t>
  </si>
  <si>
    <t>Disponibilizar para o time de negócio um dashboard de Aderencia</t>
  </si>
  <si>
    <t>Backlog Priorizado</t>
  </si>
  <si>
    <t>Conformidade</t>
  </si>
  <si>
    <t>Melhorar Modelo Matemático OTM1</t>
  </si>
  <si>
    <t>Considerar trabalho aos Fins de semana</t>
  </si>
  <si>
    <t>Avaliar incorporação de dados de autorização para trabalhos noturnos e aos fins de semana</t>
  </si>
  <si>
    <t>[Melhoria][Baixa] Flexibilizar datas de construção sugeridas pelo Otimizador 1 com penalização (restrições soft)</t>
  </si>
  <si>
    <t>Backlog Parting Lote-BCG</t>
  </si>
  <si>
    <t>Criar Flag para priorização de pex criticos</t>
  </si>
  <si>
    <t>Novo</t>
  </si>
  <si>
    <t>Produtização</t>
  </si>
  <si>
    <t>Integração</t>
  </si>
  <si>
    <t>Integração Service Now</t>
  </si>
  <si>
    <t>Integração com SAP/Datalake (Para extrair automaticamente ZPS80)</t>
  </si>
  <si>
    <t>Realizar a Integração automatica com o LECOM</t>
  </si>
  <si>
    <t>Migração para ambiente de produção</t>
  </si>
  <si>
    <t>Remover débito técnico de mapeamento de capacidade dos municípios que está direto no código</t>
  </si>
  <si>
    <t>Arquivos no Sharepoint</t>
  </si>
  <si>
    <t>ADF - Repositório de engenharia de dados</t>
  </si>
  <si>
    <t>Repositório do front-end</t>
  </si>
  <si>
    <t>Migrar servidores que executam a aplicação do front-end (serviços do back e do front)</t>
  </si>
  <si>
    <t>Migrar banco de dados do front-end</t>
  </si>
  <si>
    <t>Integração entre ambientes
i. Disparo automático (Servidor-ADF)
ii. Comunicação entre sistemas para tráfego de dados (Servidor-Databricks)</t>
  </si>
  <si>
    <t>Documentações</t>
  </si>
  <si>
    <t>Processo de CI/CD</t>
  </si>
  <si>
    <t>Tabelas no Databricks</t>
  </si>
  <si>
    <t>Jobs e workflows no Databricks</t>
  </si>
  <si>
    <t>Repositório de ciência de dados (Tatubo)</t>
  </si>
  <si>
    <t>Analisar os 600 projetos alocados na MF de Outubro</t>
  </si>
  <si>
    <t>[Melhoria][Baixo] Permitir rodar o Otimizador 2 com alvo fixo de kms de prontidão por período, sem depender do Otimizador 1</t>
  </si>
  <si>
    <t>[Melhoria][Baixo] Permitir rodar subconjuntos dos dados via filtro manual para ingestão</t>
  </si>
  <si>
    <t>Criar ambiente para armazenar e tagear dados dos cenários simulados (inputs e outputs)</t>
  </si>
  <si>
    <t>Mapear os impactos da descontinuidade da GP (Ex: cadastros, plano vigente)</t>
  </si>
  <si>
    <t>Flags na interface gráfica para consideração das excessões (individualmente) para facilitar não atualizar os inputs</t>
  </si>
  <si>
    <t>Débito técnico de desenvolvimentos hardcoded</t>
  </si>
  <si>
    <t>Monitoramento</t>
  </si>
  <si>
    <t>Melhorar relatório de erros da ingestão</t>
  </si>
  <si>
    <t>Executar a Pipeline de consistências antes da otmização</t>
  </si>
  <si>
    <t>[Melhoria][Médio] Validar expectativas não cumpridas entre execuções automaticamente</t>
  </si>
  <si>
    <t>Painel de acompanhamento dos indicadores técnicos de performance do modelo (Gap, runtime)</t>
  </si>
  <si>
    <t>Elaborar relatório de erros da otimização</t>
  </si>
  <si>
    <t>Sistematização</t>
  </si>
  <si>
    <t>Sistematização dos dados de RDO(Relatório diarios de obras)</t>
  </si>
  <si>
    <t>Sistematização das informações de assentamentos</t>
  </si>
  <si>
    <t>Sistematização das informações de arquetipos</t>
  </si>
  <si>
    <t>Sistematização das informações de construcão</t>
  </si>
  <si>
    <t>Visualizações adicionais no produto</t>
  </si>
  <si>
    <t>Criar uma gestão visual do acompanhamento da MF</t>
  </si>
  <si>
    <t>Prontidão</t>
  </si>
  <si>
    <t>Melhorar Modelo Matemático OTM2</t>
  </si>
  <si>
    <t>Alteração no Otimizador 2 considerando os projetos Plano B</t>
  </si>
  <si>
    <t>Visibilidade e Acompanhamento de indicadores relacionados à prodidão</t>
  </si>
  <si>
    <t>Mensurar o impacto da implementação da prorrogação</t>
  </si>
  <si>
    <t>Criar 4 relatórios com dados para suportar decisões de prontidão</t>
  </si>
  <si>
    <t xml:space="preserve">Gestão de Processo </t>
  </si>
  <si>
    <t>Olhar o longo prazo avaliando otimizador 2</t>
  </si>
  <si>
    <t>[OTM2] Feature mais de uma regra de inicio de projeto por municipio</t>
  </si>
  <si>
    <t>[GATE 2] Calcular prontidão por contratada e região (Novo Filtro)</t>
  </si>
  <si>
    <t>[Melhoria][Média] Criar uma lista de exceções para o Otimizador 2</t>
  </si>
  <si>
    <t>[Melhoria][Media] Identificar automaticamente gargalos por semana, região ou fase</t>
  </si>
  <si>
    <t>[Melhoria][Baixo] Introduzir bandas de custo na função objetivo</t>
  </si>
  <si>
    <t>Should Cost</t>
  </si>
  <si>
    <t>Visibilidade de indicadores Shoud Cost</t>
  </si>
  <si>
    <t>Automatizar indicadores no output dos planos gerados nas rodadas de otimização</t>
  </si>
  <si>
    <t>Exibição de indicadores executivos</t>
  </si>
  <si>
    <t xml:space="preserve">Criar ferramenta visual de comparação de should cost entre os planos </t>
  </si>
  <si>
    <t>Expansão de escopo</t>
  </si>
  <si>
    <t>[Melhoria][Baixo +] Adicionar escopo de vala aberta / loteamento</t>
  </si>
  <si>
    <t>Simulador de Should Cost</t>
  </si>
  <si>
    <t>Funcionalidade para simulações de cenários de Should Cost</t>
  </si>
  <si>
    <t>Criar output executivo replicando premissas da calculadora do Negocia+ (Suprimentos)</t>
  </si>
  <si>
    <t>Capacity</t>
  </si>
  <si>
    <t>Horas útil dia</t>
  </si>
  <si>
    <t>Eiel</t>
  </si>
  <si>
    <t>Felipe</t>
  </si>
  <si>
    <t>Marcelo</t>
  </si>
  <si>
    <t xml:space="preserve">Rafeal </t>
  </si>
  <si>
    <t>Camila</t>
  </si>
  <si>
    <t>João</t>
  </si>
  <si>
    <t>Horas/dia</t>
  </si>
  <si>
    <t>Dias úteis sprint</t>
  </si>
  <si>
    <t>Sprint</t>
  </si>
  <si>
    <t>Velocity do time</t>
  </si>
  <si>
    <t xml:space="preserve">Mês </t>
  </si>
  <si>
    <t>Trimestre</t>
  </si>
  <si>
    <t>Descontar  por sprint</t>
  </si>
  <si>
    <t>Retrospectiva por sprint</t>
  </si>
  <si>
    <t>Dailys  - 2 semanas</t>
  </si>
  <si>
    <t>Refinamento Técnico -2 horas por semana</t>
  </si>
  <si>
    <t>Planning</t>
  </si>
  <si>
    <t>Legenda:</t>
  </si>
  <si>
    <t>Resultados em 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</si>
</sst>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106EBE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wrapText="1"/>
    </xf>
    <xf numFmtId="0" fontId="2" fillId="0" borderId="3" xfId="0" applyFont="1" applyBorder="1" applyAlignment="1">
      <alignment wrapText="1"/>
    </xf>
    <xf numFmtId="1" fontId="0" fillId="0" borderId="0" xfId="0" applyNumberFormat="1"/>
    <xf numFmtId="0" fontId="3" fillId="0" borderId="0" xfId="0" applyFont="1"/>
    <xf numFmtId="3" fontId="4" fillId="0" borderId="0" xfId="0" applyNumberFormat="1" applyFont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1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7" fillId="0" borderId="1" xfId="0" applyFont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6" fillId="0" borderId="1" xfId="0" applyFont="1" applyBorder="1" applyAlignment="1">
      <alignment wrapText="1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/>
    <xf numFmtId="0" fontId="6" fillId="0" borderId="1" xfId="0" applyFont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2" fillId="0" borderId="13" xfId="0" applyFont="1" applyBorder="1" applyAlignment="1">
      <alignment vertical="center" wrapText="1"/>
    </xf>
    <xf numFmtId="0" fontId="0" fillId="0" borderId="11" xfId="0" applyBorder="1" applyAlignment="1">
      <alignment vertical="center"/>
    </xf>
    <xf numFmtId="0" fontId="0" fillId="0" borderId="0" xfId="0" applyAlignment="1">
      <alignment vertical="center"/>
    </xf>
    <xf numFmtId="164" fontId="1" fillId="2" borderId="10" xfId="0" applyNumberFormat="1" applyFont="1" applyFill="1" applyBorder="1" applyAlignment="1">
      <alignment horizontal="center" vertical="center"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333375</xdr:colOff>
      <xdr:row>10</xdr:row>
      <xdr:rowOff>95250</xdr:rowOff>
    </xdr:from>
    <xdr:to>
      <xdr:col>7</xdr:col>
      <xdr:colOff>133350</xdr:colOff>
      <xdr:row>12</xdr:row>
      <xdr:rowOff>57150</xdr:rowOff>
    </xdr:to>
    <xdr:sp macro="" textlink="">
      <xdr:nvSpPr>
        <xdr:cNvPr id="2" name="Seta para a esquerda 1">
          <a:extLst>
            <a:ext uri="{FF2B5EF4-FFF2-40B4-BE49-F238E27FC236}">
              <a16:creationId xmlns:a16="http://schemas.microsoft.com/office/drawing/2014/main" id="{C5E806FE-7B8E-0FA5-15E8-6ED19797C2CA}"/>
            </a:ext>
          </a:extLst>
        </xdr:cNvPr>
        <xdr:cNvSpPr/>
      </xdr:nvSpPr>
      <xdr:spPr>
        <a:xfrm>
          <a:off x="4924425" y="2000250"/>
          <a:ext cx="1019175" cy="352425"/>
        </a:xfrm>
        <a:prstGeom prst="leftArrow">
          <a:avLst/>
        </a:prstGeom>
        <a:ln/>
      </xdr:spPr>
      <xdr:style>
        <a:lnRef idx="2">
          <a:schemeClr val="accent3"/>
        </a:lnRef>
        <a:fillRef idx="1">
          <a:schemeClr val="lt1"/>
        </a:fillRef>
        <a:effectRef idx="0">
          <a:schemeClr val="accent3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afael Amancio Diegues" id="{91DE2057-FAF3-44A7-B512-91FAE0BD3E56}" userId="S::TR069373@comgas.com.br::097fe6cb-a905-47b4-835c-5c8e36db22b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53" dT="2026-03-17T15:01:51.58" personId="{91DE2057-FAF3-44A7-B512-91FAE0BD3E56}" id="{5050488C-96D1-43A8-9998-3148830ABB2C}">
    <text>A princípio, não será realizado, dada sistematização e integração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5B42-72D4-46A7-8F68-0B3E084D5031}">
  <sheetPr filterMode="1"/>
  <dimension ref="A1:L53"/>
  <sheetViews>
    <sheetView tabSelected="1" zoomScaleNormal="100" workbookViewId="0">
      <pane ySplit="1" topLeftCell="A2" activePane="bottomLeft" state="frozen"/>
      <selection pane="bottomLeft" activeCell="A54" sqref="A54:XFD61"/>
    </sheetView>
  </sheetViews>
  <sheetFormatPr defaultRowHeight="15" x14ac:dyDescent="0.25"/>
  <cols>
    <col min="1" max="2" width="34.42578125" customWidth="1"/>
    <col min="3" max="3" width="48.7109375" customWidth="1"/>
    <col min="4" max="4" width="46.5703125" customWidth="1"/>
    <col min="5" max="5" width="21.140625" customWidth="1"/>
    <col min="6" max="6" width="20.140625" customWidth="1"/>
    <col min="7" max="7" width="19" customWidth="1"/>
    <col min="8" max="8" width="22.85546875" customWidth="1"/>
    <col min="9" max="9" width="21.7109375" customWidth="1"/>
    <col min="10" max="10" width="15.140625" customWidth="1"/>
    <col min="11" max="11" width="16.7109375" style="36" customWidth="1"/>
    <col min="12" max="12" width="13.28515625" bestFit="1" customWidth="1"/>
  </cols>
  <sheetData>
    <row r="1" spans="1:12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35" t="s">
        <v>10</v>
      </c>
      <c r="L1" s="16" t="s">
        <v>11</v>
      </c>
    </row>
    <row r="2" spans="1:12" ht="30" hidden="1" x14ac:dyDescent="0.25">
      <c r="A2" s="14" t="s">
        <v>24</v>
      </c>
      <c r="B2" s="1" t="s">
        <v>25</v>
      </c>
      <c r="C2" s="18" t="s">
        <v>27</v>
      </c>
      <c r="D2" s="1" t="s">
        <v>15</v>
      </c>
      <c r="E2" s="2">
        <v>12</v>
      </c>
      <c r="F2" s="3">
        <v>0</v>
      </c>
      <c r="G2" s="3">
        <v>0</v>
      </c>
      <c r="H2" s="3">
        <v>2</v>
      </c>
      <c r="I2" s="17">
        <f t="shared" ref="I2:I33" si="0">SUM(E2:H2)</f>
        <v>14</v>
      </c>
      <c r="J2" s="17">
        <v>1</v>
      </c>
      <c r="K2" s="36">
        <f t="shared" ref="K2:K33" si="1">(6-J2)^1.5/((I2+0.01)^0.5)*100</f>
        <v>298.70049262920656</v>
      </c>
    </row>
    <row r="3" spans="1:12" ht="30.75" hidden="1" customHeight="1" x14ac:dyDescent="0.25">
      <c r="A3" s="14" t="s">
        <v>62</v>
      </c>
      <c r="B3" s="1" t="s">
        <v>68</v>
      </c>
      <c r="C3" s="1" t="s">
        <v>69</v>
      </c>
      <c r="D3" s="1" t="s">
        <v>15</v>
      </c>
      <c r="E3" s="2">
        <v>0</v>
      </c>
      <c r="F3" s="3">
        <v>24</v>
      </c>
      <c r="G3" s="3">
        <v>0</v>
      </c>
      <c r="H3" s="3">
        <v>12</v>
      </c>
      <c r="I3" s="17">
        <f t="shared" si="0"/>
        <v>36</v>
      </c>
      <c r="J3" s="17">
        <v>1</v>
      </c>
      <c r="K3" s="36">
        <f t="shared" si="1"/>
        <v>186.31312309908182</v>
      </c>
    </row>
    <row r="4" spans="1:12" ht="30" hidden="1" x14ac:dyDescent="0.25">
      <c r="A4" s="14" t="s">
        <v>75</v>
      </c>
      <c r="B4" s="1" t="s">
        <v>76</v>
      </c>
      <c r="C4" s="1" t="s">
        <v>84</v>
      </c>
      <c r="D4" s="15" t="s">
        <v>15</v>
      </c>
      <c r="E4" s="2">
        <v>12</v>
      </c>
      <c r="F4" s="3">
        <v>24</v>
      </c>
      <c r="G4" s="3">
        <v>0</v>
      </c>
      <c r="H4" s="3">
        <v>2</v>
      </c>
      <c r="I4" s="17">
        <f t="shared" si="0"/>
        <v>38</v>
      </c>
      <c r="J4" s="17">
        <v>1</v>
      </c>
      <c r="K4" s="36">
        <f t="shared" si="1"/>
        <v>181.34520288620678</v>
      </c>
    </row>
    <row r="5" spans="1:12" hidden="1" x14ac:dyDescent="0.25">
      <c r="A5" s="14" t="s">
        <v>24</v>
      </c>
      <c r="B5" s="1" t="s">
        <v>25</v>
      </c>
      <c r="C5" s="1" t="s">
        <v>28</v>
      </c>
      <c r="D5" s="1" t="s">
        <v>15</v>
      </c>
      <c r="E5" s="2">
        <v>30</v>
      </c>
      <c r="F5" s="3">
        <v>0</v>
      </c>
      <c r="G5" s="3">
        <v>0</v>
      </c>
      <c r="H5" s="3">
        <v>12</v>
      </c>
      <c r="I5" s="17">
        <f t="shared" si="0"/>
        <v>42</v>
      </c>
      <c r="J5" s="17">
        <v>1</v>
      </c>
      <c r="K5" s="36">
        <f t="shared" si="1"/>
        <v>172.49585583684464</v>
      </c>
    </row>
    <row r="6" spans="1:12" ht="36.75" hidden="1" customHeight="1" x14ac:dyDescent="0.25">
      <c r="A6" s="24" t="s">
        <v>62</v>
      </c>
      <c r="B6" s="15" t="s">
        <v>63</v>
      </c>
      <c r="C6" s="1" t="s">
        <v>74</v>
      </c>
      <c r="D6" s="15" t="s">
        <v>21</v>
      </c>
      <c r="E6" s="2">
        <v>12</v>
      </c>
      <c r="F6" s="3">
        <v>12</v>
      </c>
      <c r="G6" s="3">
        <v>0</v>
      </c>
      <c r="H6" s="3">
        <v>2</v>
      </c>
      <c r="I6" s="17">
        <f t="shared" si="0"/>
        <v>26</v>
      </c>
      <c r="J6" s="17">
        <v>2</v>
      </c>
      <c r="K6" s="36">
        <f t="shared" si="1"/>
        <v>156.86274509803917</v>
      </c>
    </row>
    <row r="7" spans="1:12" ht="36.75" hidden="1" customHeight="1" x14ac:dyDescent="0.25">
      <c r="A7" s="14" t="s">
        <v>62</v>
      </c>
      <c r="B7" s="1" t="s">
        <v>65</v>
      </c>
      <c r="C7" s="1" t="s">
        <v>66</v>
      </c>
      <c r="D7" s="1" t="s">
        <v>15</v>
      </c>
      <c r="E7" s="2">
        <v>30</v>
      </c>
      <c r="F7" s="3">
        <v>0</v>
      </c>
      <c r="G7" s="3">
        <v>12</v>
      </c>
      <c r="H7" s="3">
        <v>18</v>
      </c>
      <c r="I7" s="17">
        <f t="shared" si="0"/>
        <v>60</v>
      </c>
      <c r="J7" s="17">
        <v>1</v>
      </c>
      <c r="K7" s="36">
        <f t="shared" si="1"/>
        <v>144.32554067010582</v>
      </c>
    </row>
    <row r="8" spans="1:12" ht="36.75" hidden="1" customHeight="1" x14ac:dyDescent="0.25">
      <c r="A8" s="25" t="s">
        <v>16</v>
      </c>
      <c r="B8" s="1" t="s">
        <v>17</v>
      </c>
      <c r="C8" s="31" t="s">
        <v>22</v>
      </c>
      <c r="D8" s="29" t="s">
        <v>23</v>
      </c>
      <c r="E8" s="2">
        <v>6</v>
      </c>
      <c r="F8" s="3">
        <v>24</v>
      </c>
      <c r="G8" s="3">
        <v>0</v>
      </c>
      <c r="H8" s="3">
        <v>2</v>
      </c>
      <c r="I8" s="17">
        <f t="shared" si="0"/>
        <v>32</v>
      </c>
      <c r="J8" s="17">
        <v>2</v>
      </c>
      <c r="K8" s="36">
        <f t="shared" si="1"/>
        <v>141.39926432805382</v>
      </c>
    </row>
    <row r="9" spans="1:12" ht="45" hidden="1" x14ac:dyDescent="0.25">
      <c r="A9" s="24" t="s">
        <v>24</v>
      </c>
      <c r="B9" s="20" t="s">
        <v>29</v>
      </c>
      <c r="C9" s="1" t="s">
        <v>43</v>
      </c>
      <c r="D9" s="15" t="s">
        <v>21</v>
      </c>
      <c r="E9" s="2">
        <v>12</v>
      </c>
      <c r="F9" s="3">
        <f>8*6</f>
        <v>48</v>
      </c>
      <c r="G9" s="3">
        <v>6</v>
      </c>
      <c r="H9" s="3">
        <v>12</v>
      </c>
      <c r="I9" s="17">
        <f t="shared" si="0"/>
        <v>78</v>
      </c>
      <c r="J9" s="17">
        <v>1</v>
      </c>
      <c r="K9" s="36">
        <f t="shared" si="1"/>
        <v>126.58430676687897</v>
      </c>
    </row>
    <row r="10" spans="1:12" ht="30" hidden="1" x14ac:dyDescent="0.25">
      <c r="A10" s="14" t="s">
        <v>75</v>
      </c>
      <c r="B10" s="1" t="s">
        <v>76</v>
      </c>
      <c r="C10" s="1" t="s">
        <v>77</v>
      </c>
      <c r="D10" s="1" t="s">
        <v>15</v>
      </c>
      <c r="E10" s="2">
        <v>0</v>
      </c>
      <c r="F10" s="3">
        <v>18</v>
      </c>
      <c r="G10" s="3">
        <v>0</v>
      </c>
      <c r="H10" s="3">
        <v>2</v>
      </c>
      <c r="I10" s="17">
        <f t="shared" si="0"/>
        <v>20</v>
      </c>
      <c r="J10" s="17">
        <v>3</v>
      </c>
      <c r="K10" s="36">
        <f t="shared" si="1"/>
        <v>116.16046389935495</v>
      </c>
    </row>
    <row r="11" spans="1:12" ht="31.5" hidden="1" customHeight="1" x14ac:dyDescent="0.25">
      <c r="A11" s="14" t="s">
        <v>24</v>
      </c>
      <c r="B11" s="1" t="s">
        <v>55</v>
      </c>
      <c r="C11" s="1" t="s">
        <v>56</v>
      </c>
      <c r="D11" s="1" t="s">
        <v>15</v>
      </c>
      <c r="E11" s="2">
        <v>6</v>
      </c>
      <c r="F11" s="3">
        <v>0</v>
      </c>
      <c r="G11" s="3">
        <v>12</v>
      </c>
      <c r="H11" s="3">
        <v>2</v>
      </c>
      <c r="I11" s="17">
        <f t="shared" si="0"/>
        <v>20</v>
      </c>
      <c r="J11" s="17">
        <v>3</v>
      </c>
      <c r="K11" s="36">
        <f t="shared" si="1"/>
        <v>116.16046389935495</v>
      </c>
    </row>
    <row r="12" spans="1:12" ht="35.25" hidden="1" customHeight="1" x14ac:dyDescent="0.25">
      <c r="A12" s="14" t="s">
        <v>24</v>
      </c>
      <c r="B12" s="1" t="s">
        <v>55</v>
      </c>
      <c r="C12" s="1" t="s">
        <v>57</v>
      </c>
      <c r="D12" s="1" t="s">
        <v>15</v>
      </c>
      <c r="E12" s="2">
        <v>6</v>
      </c>
      <c r="F12" s="3">
        <v>0</v>
      </c>
      <c r="G12" s="3">
        <v>12</v>
      </c>
      <c r="H12" s="3">
        <v>2</v>
      </c>
      <c r="I12" s="17">
        <f t="shared" si="0"/>
        <v>20</v>
      </c>
      <c r="J12" s="17">
        <v>3</v>
      </c>
      <c r="K12" s="36">
        <f t="shared" si="1"/>
        <v>116.16046389935495</v>
      </c>
    </row>
    <row r="13" spans="1:12" hidden="1" x14ac:dyDescent="0.25">
      <c r="A13" s="14" t="s">
        <v>24</v>
      </c>
      <c r="B13" s="1" t="s">
        <v>55</v>
      </c>
      <c r="C13" s="1" t="s">
        <v>58</v>
      </c>
      <c r="D13" s="1" t="s">
        <v>15</v>
      </c>
      <c r="E13" s="2">
        <v>6</v>
      </c>
      <c r="F13" s="3">
        <v>0</v>
      </c>
      <c r="G13" s="3">
        <v>12</v>
      </c>
      <c r="H13" s="3">
        <v>2</v>
      </c>
      <c r="I13" s="17">
        <f t="shared" si="0"/>
        <v>20</v>
      </c>
      <c r="J13" s="17">
        <v>3</v>
      </c>
      <c r="K13" s="36">
        <f t="shared" si="1"/>
        <v>116.16046389935495</v>
      </c>
    </row>
    <row r="14" spans="1:12" hidden="1" x14ac:dyDescent="0.25">
      <c r="A14" s="14" t="s">
        <v>24</v>
      </c>
      <c r="B14" s="1" t="s">
        <v>55</v>
      </c>
      <c r="C14" s="1" t="s">
        <v>59</v>
      </c>
      <c r="D14" s="1" t="s">
        <v>15</v>
      </c>
      <c r="E14" s="2">
        <v>6</v>
      </c>
      <c r="F14" s="3">
        <v>0</v>
      </c>
      <c r="G14" s="3">
        <v>12</v>
      </c>
      <c r="H14" s="3">
        <v>2</v>
      </c>
      <c r="I14" s="17">
        <f t="shared" si="0"/>
        <v>20</v>
      </c>
      <c r="J14" s="17">
        <v>3</v>
      </c>
      <c r="K14" s="36">
        <f t="shared" si="1"/>
        <v>116.16046389935495</v>
      </c>
    </row>
    <row r="15" spans="1:12" ht="30" hidden="1" x14ac:dyDescent="0.25">
      <c r="A15" s="14" t="s">
        <v>75</v>
      </c>
      <c r="B15" s="1" t="s">
        <v>76</v>
      </c>
      <c r="C15" s="1" t="s">
        <v>78</v>
      </c>
      <c r="D15" s="1" t="s">
        <v>15</v>
      </c>
      <c r="E15" s="2">
        <v>12</v>
      </c>
      <c r="F15" s="3">
        <v>6</v>
      </c>
      <c r="G15" s="3">
        <v>18</v>
      </c>
      <c r="H15" s="3">
        <v>12</v>
      </c>
      <c r="I15" s="17">
        <f t="shared" si="0"/>
        <v>48</v>
      </c>
      <c r="J15" s="17">
        <v>2</v>
      </c>
      <c r="K15" s="36">
        <f t="shared" si="1"/>
        <v>115.45802758638619</v>
      </c>
    </row>
    <row r="16" spans="1:12" hidden="1" x14ac:dyDescent="0.25">
      <c r="A16" s="19" t="s">
        <v>16</v>
      </c>
      <c r="B16" s="1" t="s">
        <v>17</v>
      </c>
      <c r="C16" s="1" t="s">
        <v>18</v>
      </c>
      <c r="D16" s="1" t="s">
        <v>15</v>
      </c>
      <c r="E16" s="2">
        <v>12</v>
      </c>
      <c r="F16" s="3">
        <v>42</v>
      </c>
      <c r="G16" s="3">
        <v>0</v>
      </c>
      <c r="H16" s="3">
        <v>2</v>
      </c>
      <c r="I16" s="17">
        <f t="shared" si="0"/>
        <v>56</v>
      </c>
      <c r="J16" s="17">
        <v>2</v>
      </c>
      <c r="K16" s="36">
        <f t="shared" si="1"/>
        <v>106.89495299877967</v>
      </c>
    </row>
    <row r="17" spans="1:11" ht="30" hidden="1" x14ac:dyDescent="0.25">
      <c r="A17" s="14" t="s">
        <v>16</v>
      </c>
      <c r="B17" s="1" t="s">
        <v>17</v>
      </c>
      <c r="C17" s="1" t="s">
        <v>19</v>
      </c>
      <c r="D17" s="1" t="s">
        <v>15</v>
      </c>
      <c r="E17" s="2">
        <v>12</v>
      </c>
      <c r="F17" s="3">
        <v>42</v>
      </c>
      <c r="G17" s="3">
        <v>0</v>
      </c>
      <c r="H17" s="3">
        <v>2</v>
      </c>
      <c r="I17" s="17">
        <f t="shared" si="0"/>
        <v>56</v>
      </c>
      <c r="J17" s="17">
        <v>2</v>
      </c>
      <c r="K17" s="36">
        <f t="shared" si="1"/>
        <v>106.89495299877967</v>
      </c>
    </row>
    <row r="18" spans="1:11" ht="30" hidden="1" x14ac:dyDescent="0.25">
      <c r="A18" s="14" t="s">
        <v>24</v>
      </c>
      <c r="B18" s="1" t="s">
        <v>49</v>
      </c>
      <c r="C18" s="1" t="s">
        <v>51</v>
      </c>
      <c r="D18" s="1" t="s">
        <v>15</v>
      </c>
      <c r="E18" s="2">
        <v>12</v>
      </c>
      <c r="F18" s="3">
        <v>6</v>
      </c>
      <c r="G18" s="3">
        <v>6</v>
      </c>
      <c r="H18" s="3">
        <v>2</v>
      </c>
      <c r="I18" s="17">
        <f t="shared" si="0"/>
        <v>26</v>
      </c>
      <c r="J18" s="17">
        <v>3</v>
      </c>
      <c r="K18" s="36">
        <f t="shared" si="1"/>
        <v>101.88534162169867</v>
      </c>
    </row>
    <row r="19" spans="1:11" ht="30" hidden="1" x14ac:dyDescent="0.25">
      <c r="A19" s="24" t="s">
        <v>62</v>
      </c>
      <c r="B19" s="15" t="s">
        <v>63</v>
      </c>
      <c r="C19" s="1" t="s">
        <v>70</v>
      </c>
      <c r="D19" s="15" t="s">
        <v>21</v>
      </c>
      <c r="E19" s="2">
        <v>6</v>
      </c>
      <c r="F19" s="3">
        <v>18</v>
      </c>
      <c r="G19" s="3">
        <v>0</v>
      </c>
      <c r="H19" s="3">
        <v>2</v>
      </c>
      <c r="I19" s="17">
        <f t="shared" si="0"/>
        <v>26</v>
      </c>
      <c r="J19" s="17">
        <v>3</v>
      </c>
      <c r="K19" s="36">
        <f t="shared" si="1"/>
        <v>101.88534162169867</v>
      </c>
    </row>
    <row r="20" spans="1:11" ht="30" hidden="1" x14ac:dyDescent="0.25">
      <c r="A20" s="24" t="s">
        <v>62</v>
      </c>
      <c r="B20" s="1" t="s">
        <v>65</v>
      </c>
      <c r="C20" s="23" t="s">
        <v>71</v>
      </c>
      <c r="D20" s="15" t="s">
        <v>21</v>
      </c>
      <c r="E20" s="2">
        <v>0</v>
      </c>
      <c r="F20" s="3">
        <v>12</v>
      </c>
      <c r="G20" s="3">
        <v>18</v>
      </c>
      <c r="H20" s="3">
        <v>2</v>
      </c>
      <c r="I20" s="17">
        <f t="shared" si="0"/>
        <v>32</v>
      </c>
      <c r="J20" s="17">
        <v>3</v>
      </c>
      <c r="K20" s="36">
        <f t="shared" si="1"/>
        <v>91.841516238394064</v>
      </c>
    </row>
    <row r="21" spans="1:11" ht="30" hidden="1" x14ac:dyDescent="0.25">
      <c r="A21" s="14" t="s">
        <v>62</v>
      </c>
      <c r="B21" s="14" t="s">
        <v>65</v>
      </c>
      <c r="C21" s="1" t="s">
        <v>67</v>
      </c>
      <c r="D21" s="22" t="s">
        <v>15</v>
      </c>
      <c r="E21" s="2">
        <v>24</v>
      </c>
      <c r="F21" s="3">
        <f>4*24</f>
        <v>96</v>
      </c>
      <c r="G21" s="3">
        <v>12</v>
      </c>
      <c r="H21" s="3">
        <f>24</f>
        <v>24</v>
      </c>
      <c r="I21" s="17">
        <f t="shared" si="0"/>
        <v>156</v>
      </c>
      <c r="J21">
        <v>1</v>
      </c>
      <c r="K21" s="36">
        <f t="shared" si="1"/>
        <v>89.511490342880691</v>
      </c>
    </row>
    <row r="22" spans="1:11" ht="30" hidden="1" x14ac:dyDescent="0.25">
      <c r="A22" s="24" t="s">
        <v>62</v>
      </c>
      <c r="B22" s="24" t="s">
        <v>63</v>
      </c>
      <c r="C22" s="1" t="s">
        <v>72</v>
      </c>
      <c r="D22" s="33" t="s">
        <v>21</v>
      </c>
      <c r="E22" s="2">
        <v>12</v>
      </c>
      <c r="F22" s="3">
        <v>24</v>
      </c>
      <c r="G22" s="3">
        <v>0</v>
      </c>
      <c r="H22" s="3">
        <v>2</v>
      </c>
      <c r="I22" s="17">
        <f t="shared" si="0"/>
        <v>38</v>
      </c>
      <c r="J22" s="17">
        <v>3</v>
      </c>
      <c r="K22" s="36">
        <f t="shared" si="1"/>
        <v>84.281634083146102</v>
      </c>
    </row>
    <row r="23" spans="1:11" hidden="1" x14ac:dyDescent="0.25">
      <c r="A23" s="14" t="s">
        <v>24</v>
      </c>
      <c r="B23" s="14" t="s">
        <v>49</v>
      </c>
      <c r="C23" s="1" t="s">
        <v>50</v>
      </c>
      <c r="D23" s="22" t="s">
        <v>15</v>
      </c>
      <c r="E23" s="2">
        <v>24</v>
      </c>
      <c r="F23" s="3">
        <v>0</v>
      </c>
      <c r="G23" s="3">
        <v>6</v>
      </c>
      <c r="H23" s="3">
        <v>12</v>
      </c>
      <c r="I23" s="17">
        <f t="shared" si="0"/>
        <v>42</v>
      </c>
      <c r="J23" s="17">
        <v>3</v>
      </c>
      <c r="K23" s="36">
        <f t="shared" si="1"/>
        <v>80.168829233507395</v>
      </c>
    </row>
    <row r="24" spans="1:11" ht="30" hidden="1" x14ac:dyDescent="0.25">
      <c r="A24" s="14" t="s">
        <v>12</v>
      </c>
      <c r="B24" s="1" t="s">
        <v>13</v>
      </c>
      <c r="C24" s="32" t="s">
        <v>14</v>
      </c>
      <c r="D24" s="1" t="s">
        <v>15</v>
      </c>
      <c r="E24" s="2">
        <v>42</v>
      </c>
      <c r="F24" s="3">
        <v>12</v>
      </c>
      <c r="G24" s="3">
        <v>42</v>
      </c>
      <c r="H24" s="3">
        <v>4</v>
      </c>
      <c r="I24" s="17">
        <f t="shared" si="0"/>
        <v>100</v>
      </c>
      <c r="J24" s="17">
        <v>2</v>
      </c>
      <c r="K24" s="36">
        <f t="shared" si="1"/>
        <v>79.996000299974995</v>
      </c>
    </row>
    <row r="25" spans="1:11" ht="30" hidden="1" x14ac:dyDescent="0.25">
      <c r="A25" s="14" t="s">
        <v>62</v>
      </c>
      <c r="B25" s="1" t="s">
        <v>63</v>
      </c>
      <c r="C25" s="1" t="s">
        <v>64</v>
      </c>
      <c r="D25" s="1" t="s">
        <v>15</v>
      </c>
      <c r="E25" s="2">
        <v>0</v>
      </c>
      <c r="F25" s="3">
        <v>42</v>
      </c>
      <c r="G25" s="3">
        <v>0</v>
      </c>
      <c r="H25" s="3">
        <v>2</v>
      </c>
      <c r="I25" s="17">
        <f t="shared" si="0"/>
        <v>44</v>
      </c>
      <c r="J25" s="17">
        <v>3</v>
      </c>
      <c r="K25" s="36">
        <f t="shared" si="1"/>
        <v>78.326044998795737</v>
      </c>
    </row>
    <row r="26" spans="1:11" ht="30" hidden="1" x14ac:dyDescent="0.25">
      <c r="A26" s="25" t="s">
        <v>75</v>
      </c>
      <c r="B26" s="27" t="s">
        <v>82</v>
      </c>
      <c r="C26" s="1" t="s">
        <v>83</v>
      </c>
      <c r="D26" s="15" t="s">
        <v>15</v>
      </c>
      <c r="E26" s="27">
        <v>12</v>
      </c>
      <c r="F26" s="25">
        <v>24</v>
      </c>
      <c r="G26" s="25">
        <v>0</v>
      </c>
      <c r="H26" s="25">
        <v>12</v>
      </c>
      <c r="I26" s="17">
        <f t="shared" si="0"/>
        <v>48</v>
      </c>
      <c r="J26" s="17">
        <v>3</v>
      </c>
      <c r="K26" s="36">
        <f t="shared" si="1"/>
        <v>74.992188720491242</v>
      </c>
    </row>
    <row r="27" spans="1:11" ht="45" hidden="1" x14ac:dyDescent="0.25">
      <c r="A27" s="14" t="s">
        <v>16</v>
      </c>
      <c r="B27" s="1" t="s">
        <v>17</v>
      </c>
      <c r="C27" s="1" t="s">
        <v>20</v>
      </c>
      <c r="D27" s="15" t="s">
        <v>21</v>
      </c>
      <c r="E27" s="2">
        <v>6</v>
      </c>
      <c r="F27" s="3">
        <v>42</v>
      </c>
      <c r="G27" s="3">
        <v>0</v>
      </c>
      <c r="H27" s="3">
        <v>2</v>
      </c>
      <c r="I27" s="17">
        <f t="shared" si="0"/>
        <v>50</v>
      </c>
      <c r="J27" s="17">
        <v>3</v>
      </c>
      <c r="K27" s="36">
        <f t="shared" si="1"/>
        <v>73.477344916353701</v>
      </c>
    </row>
    <row r="28" spans="1:11" ht="36.75" hidden="1" customHeight="1" x14ac:dyDescent="0.25">
      <c r="A28" s="14" t="s">
        <v>75</v>
      </c>
      <c r="B28" s="1" t="s">
        <v>76</v>
      </c>
      <c r="C28" s="30" t="s">
        <v>79</v>
      </c>
      <c r="D28" s="1" t="s">
        <v>15</v>
      </c>
      <c r="E28" s="2">
        <v>0</v>
      </c>
      <c r="F28" s="3">
        <v>18</v>
      </c>
      <c r="G28" s="3">
        <v>0</v>
      </c>
      <c r="H28" s="3">
        <v>2</v>
      </c>
      <c r="I28" s="17">
        <f t="shared" si="0"/>
        <v>20</v>
      </c>
      <c r="J28" s="17">
        <v>4</v>
      </c>
      <c r="K28" s="36">
        <f t="shared" si="1"/>
        <v>63.229747741867904</v>
      </c>
    </row>
    <row r="29" spans="1:11" ht="30" hidden="1" x14ac:dyDescent="0.25">
      <c r="A29" s="14" t="s">
        <v>24</v>
      </c>
      <c r="B29" s="1" t="s">
        <v>49</v>
      </c>
      <c r="C29" s="1" t="s">
        <v>53</v>
      </c>
      <c r="D29" s="1" t="s">
        <v>15</v>
      </c>
      <c r="E29" s="27">
        <v>12</v>
      </c>
      <c r="F29" s="25">
        <v>6</v>
      </c>
      <c r="G29" s="25">
        <v>6</v>
      </c>
      <c r="H29" s="25">
        <v>2</v>
      </c>
      <c r="I29" s="17">
        <f t="shared" si="0"/>
        <v>26</v>
      </c>
      <c r="J29" s="17">
        <v>4</v>
      </c>
      <c r="K29" s="36">
        <f t="shared" si="1"/>
        <v>55.459355387180189</v>
      </c>
    </row>
    <row r="30" spans="1:11" ht="30" hidden="1" x14ac:dyDescent="0.25">
      <c r="A30" s="24" t="s">
        <v>75</v>
      </c>
      <c r="B30" s="15" t="s">
        <v>80</v>
      </c>
      <c r="C30" s="1" t="s">
        <v>81</v>
      </c>
      <c r="D30" s="15" t="s">
        <v>21</v>
      </c>
      <c r="E30" s="2">
        <v>30</v>
      </c>
      <c r="F30" s="3">
        <v>60</v>
      </c>
      <c r="G30" s="3">
        <v>0</v>
      </c>
      <c r="H30" s="3">
        <v>12</v>
      </c>
      <c r="I30" s="17">
        <f t="shared" si="0"/>
        <v>102</v>
      </c>
      <c r="J30" s="17">
        <v>3</v>
      </c>
      <c r="K30" s="36">
        <f t="shared" si="1"/>
        <v>51.44705369016468</v>
      </c>
    </row>
    <row r="31" spans="1:11" hidden="1" x14ac:dyDescent="0.25">
      <c r="A31" s="14" t="s">
        <v>24</v>
      </c>
      <c r="B31" s="1" t="s">
        <v>49</v>
      </c>
      <c r="C31" s="1" t="s">
        <v>54</v>
      </c>
      <c r="D31" s="1" t="s">
        <v>15</v>
      </c>
      <c r="E31" s="27">
        <v>12</v>
      </c>
      <c r="F31" s="25">
        <v>6</v>
      </c>
      <c r="G31" s="25">
        <v>12</v>
      </c>
      <c r="H31" s="25">
        <v>2</v>
      </c>
      <c r="I31" s="17">
        <f t="shared" si="0"/>
        <v>32</v>
      </c>
      <c r="J31" s="17">
        <v>4</v>
      </c>
      <c r="K31" s="36">
        <f t="shared" si="1"/>
        <v>49.992189330577979</v>
      </c>
    </row>
    <row r="32" spans="1:11" ht="32.25" hidden="1" customHeight="1" x14ac:dyDescent="0.25">
      <c r="A32" s="24" t="s">
        <v>24</v>
      </c>
      <c r="B32" s="15" t="s">
        <v>49</v>
      </c>
      <c r="C32" s="1" t="s">
        <v>52</v>
      </c>
      <c r="D32" s="15" t="s">
        <v>21</v>
      </c>
      <c r="E32" s="2">
        <v>0</v>
      </c>
      <c r="F32" s="3">
        <v>12</v>
      </c>
      <c r="G32" s="3">
        <v>18</v>
      </c>
      <c r="H32" s="3">
        <v>12</v>
      </c>
      <c r="I32" s="17">
        <f t="shared" si="0"/>
        <v>42</v>
      </c>
      <c r="J32" s="17">
        <v>4</v>
      </c>
      <c r="K32" s="36">
        <f t="shared" si="1"/>
        <v>43.638383310758336</v>
      </c>
    </row>
    <row r="33" spans="1:11" ht="33.75" hidden="1" customHeight="1" x14ac:dyDescent="0.25">
      <c r="A33" s="14" t="s">
        <v>24</v>
      </c>
      <c r="B33" s="1" t="s">
        <v>60</v>
      </c>
      <c r="C33" s="1" t="s">
        <v>61</v>
      </c>
      <c r="D33" s="1" t="s">
        <v>15</v>
      </c>
      <c r="E33" s="2">
        <v>0</v>
      </c>
      <c r="F33" s="3">
        <v>12</v>
      </c>
      <c r="G33" s="3">
        <v>18</v>
      </c>
      <c r="H33" s="3">
        <v>12</v>
      </c>
      <c r="I33" s="17">
        <f t="shared" si="0"/>
        <v>42</v>
      </c>
      <c r="J33" s="17">
        <v>4</v>
      </c>
      <c r="K33" s="36">
        <f t="shared" si="1"/>
        <v>43.638383310758336</v>
      </c>
    </row>
    <row r="34" spans="1:11" ht="33" hidden="1" customHeight="1" x14ac:dyDescent="0.25">
      <c r="A34" s="15" t="s">
        <v>62</v>
      </c>
      <c r="B34" s="1" t="s">
        <v>65</v>
      </c>
      <c r="C34" s="1" t="s">
        <v>73</v>
      </c>
      <c r="D34" s="34" t="s">
        <v>21</v>
      </c>
      <c r="E34" s="2">
        <v>0</v>
      </c>
      <c r="F34" s="2">
        <v>24</v>
      </c>
      <c r="G34" s="3">
        <v>12</v>
      </c>
      <c r="H34" s="2">
        <v>12</v>
      </c>
      <c r="I34" s="17">
        <f t="shared" ref="I34:I53" si="2">SUM(E34:H34)</f>
        <v>48</v>
      </c>
      <c r="J34" s="17">
        <v>4</v>
      </c>
      <c r="K34" s="36">
        <f t="shared" ref="K34:K53" si="3">(6-J34)^1.5/((I34+0.01)^0.5)*100</f>
        <v>40.82057712437858</v>
      </c>
    </row>
    <row r="35" spans="1:11" ht="30" hidden="1" x14ac:dyDescent="0.25">
      <c r="A35" s="1" t="s">
        <v>24</v>
      </c>
      <c r="B35" s="1" t="s">
        <v>29</v>
      </c>
      <c r="C35" s="1" t="s">
        <v>32</v>
      </c>
      <c r="D35" s="30" t="s">
        <v>15</v>
      </c>
      <c r="E35" s="2">
        <v>6</v>
      </c>
      <c r="F35" s="2">
        <v>0</v>
      </c>
      <c r="G35" s="3">
        <v>0</v>
      </c>
      <c r="H35" s="2">
        <v>0</v>
      </c>
      <c r="I35" s="17">
        <f t="shared" si="2"/>
        <v>6</v>
      </c>
      <c r="J35" s="17">
        <v>5</v>
      </c>
      <c r="K35" s="36">
        <f t="shared" si="3"/>
        <v>40.790850822400216</v>
      </c>
    </row>
    <row r="36" spans="1:11" ht="30" hidden="1" x14ac:dyDescent="0.25">
      <c r="A36" s="1" t="s">
        <v>24</v>
      </c>
      <c r="B36" s="1" t="s">
        <v>29</v>
      </c>
      <c r="C36" s="1" t="s">
        <v>33</v>
      </c>
      <c r="D36" s="30" t="s">
        <v>15</v>
      </c>
      <c r="E36" s="2">
        <v>6</v>
      </c>
      <c r="F36" s="2">
        <v>0</v>
      </c>
      <c r="G36" s="3">
        <v>0</v>
      </c>
      <c r="H36" s="2">
        <v>0</v>
      </c>
      <c r="I36" s="17">
        <f t="shared" si="2"/>
        <v>6</v>
      </c>
      <c r="J36" s="17">
        <v>5</v>
      </c>
      <c r="K36" s="36">
        <f t="shared" si="3"/>
        <v>40.790850822400216</v>
      </c>
    </row>
    <row r="37" spans="1:11" ht="30" hidden="1" x14ac:dyDescent="0.25">
      <c r="A37" s="1" t="s">
        <v>24</v>
      </c>
      <c r="B37" s="1" t="s">
        <v>29</v>
      </c>
      <c r="C37" s="1" t="s">
        <v>35</v>
      </c>
      <c r="D37" s="30" t="s">
        <v>15</v>
      </c>
      <c r="E37" s="2">
        <v>0</v>
      </c>
      <c r="F37" s="2">
        <v>0</v>
      </c>
      <c r="G37" s="3">
        <v>6</v>
      </c>
      <c r="H37" s="2">
        <v>0</v>
      </c>
      <c r="I37" s="17">
        <f t="shared" si="2"/>
        <v>6</v>
      </c>
      <c r="J37" s="17">
        <v>5</v>
      </c>
      <c r="K37" s="36">
        <f t="shared" si="3"/>
        <v>40.790850822400216</v>
      </c>
    </row>
    <row r="38" spans="1:11" ht="30" hidden="1" x14ac:dyDescent="0.25">
      <c r="A38" s="1" t="s">
        <v>24</v>
      </c>
      <c r="B38" s="1" t="s">
        <v>29</v>
      </c>
      <c r="C38" s="1" t="s">
        <v>40</v>
      </c>
      <c r="D38" s="30" t="s">
        <v>15</v>
      </c>
      <c r="E38" s="2">
        <v>6</v>
      </c>
      <c r="F38" s="2">
        <v>0</v>
      </c>
      <c r="G38" s="3">
        <v>0</v>
      </c>
      <c r="H38" s="2">
        <v>0</v>
      </c>
      <c r="I38" s="17">
        <f t="shared" si="2"/>
        <v>6</v>
      </c>
      <c r="J38" s="17">
        <v>5</v>
      </c>
      <c r="K38" s="36">
        <f t="shared" si="3"/>
        <v>40.790850822400216</v>
      </c>
    </row>
    <row r="39" spans="1:11" ht="30" hidden="1" x14ac:dyDescent="0.25">
      <c r="A39" s="1" t="s">
        <v>24</v>
      </c>
      <c r="B39" s="1" t="s">
        <v>29</v>
      </c>
      <c r="C39" s="1" t="s">
        <v>34</v>
      </c>
      <c r="D39" s="30" t="s">
        <v>15</v>
      </c>
      <c r="E39" s="2">
        <v>0</v>
      </c>
      <c r="F39" s="2">
        <v>0</v>
      </c>
      <c r="G39" s="3">
        <v>12</v>
      </c>
      <c r="H39" s="2">
        <v>0</v>
      </c>
      <c r="I39" s="17">
        <f t="shared" si="2"/>
        <v>12</v>
      </c>
      <c r="J39" s="17">
        <v>5</v>
      </c>
      <c r="K39" s="36">
        <f t="shared" si="3"/>
        <v>28.85549284123806</v>
      </c>
    </row>
    <row r="40" spans="1:11" ht="30" hidden="1" x14ac:dyDescent="0.25">
      <c r="A40" s="1" t="s">
        <v>24</v>
      </c>
      <c r="B40" s="1" t="s">
        <v>29</v>
      </c>
      <c r="C40" s="21" t="s">
        <v>38</v>
      </c>
      <c r="D40" s="30" t="s">
        <v>15</v>
      </c>
      <c r="E40" s="2">
        <v>12</v>
      </c>
      <c r="F40" s="2">
        <v>0</v>
      </c>
      <c r="G40" s="3">
        <v>0</v>
      </c>
      <c r="H40" s="2">
        <v>0</v>
      </c>
      <c r="I40" s="17">
        <f t="shared" si="2"/>
        <v>12</v>
      </c>
      <c r="J40" s="17">
        <v>5</v>
      </c>
      <c r="K40" s="36">
        <f t="shared" si="3"/>
        <v>28.85549284123806</v>
      </c>
    </row>
    <row r="41" spans="1:11" ht="34.5" hidden="1" customHeight="1" x14ac:dyDescent="0.25">
      <c r="A41" s="1" t="s">
        <v>24</v>
      </c>
      <c r="B41" s="1" t="s">
        <v>29</v>
      </c>
      <c r="C41" s="1" t="s">
        <v>39</v>
      </c>
      <c r="D41" s="30" t="s">
        <v>15</v>
      </c>
      <c r="E41" s="2">
        <v>12</v>
      </c>
      <c r="F41" s="2">
        <v>0</v>
      </c>
      <c r="G41" s="3">
        <v>0</v>
      </c>
      <c r="H41" s="2">
        <v>0</v>
      </c>
      <c r="I41" s="17">
        <f t="shared" si="2"/>
        <v>12</v>
      </c>
      <c r="J41" s="17">
        <v>5</v>
      </c>
      <c r="K41" s="36">
        <f t="shared" si="3"/>
        <v>28.85549284123806</v>
      </c>
    </row>
    <row r="42" spans="1:11" ht="38.25" hidden="1" customHeight="1" x14ac:dyDescent="0.25">
      <c r="A42" s="15" t="s">
        <v>24</v>
      </c>
      <c r="B42" s="20" t="s">
        <v>29</v>
      </c>
      <c r="C42" s="1" t="s">
        <v>42</v>
      </c>
      <c r="D42" s="34" t="s">
        <v>21</v>
      </c>
      <c r="E42" s="2">
        <v>0</v>
      </c>
      <c r="F42" s="2">
        <v>12</v>
      </c>
      <c r="G42" s="3">
        <v>0</v>
      </c>
      <c r="H42" s="2">
        <v>1</v>
      </c>
      <c r="I42" s="17">
        <f t="shared" si="2"/>
        <v>13</v>
      </c>
      <c r="J42" s="17">
        <v>5</v>
      </c>
      <c r="K42" s="36">
        <f t="shared" si="3"/>
        <v>27.724348650071377</v>
      </c>
    </row>
    <row r="43" spans="1:11" ht="30" hidden="1" x14ac:dyDescent="0.25">
      <c r="A43" s="1" t="s">
        <v>24</v>
      </c>
      <c r="B43" s="1" t="s">
        <v>29</v>
      </c>
      <c r="C43" s="1" t="s">
        <v>30</v>
      </c>
      <c r="D43" s="30" t="s">
        <v>15</v>
      </c>
      <c r="E43" s="2">
        <v>6</v>
      </c>
      <c r="F43" s="2">
        <v>6</v>
      </c>
      <c r="G43" s="3">
        <v>0</v>
      </c>
      <c r="H43" s="2">
        <v>2</v>
      </c>
      <c r="I43" s="17">
        <f t="shared" si="2"/>
        <v>14</v>
      </c>
      <c r="J43" s="17">
        <v>5</v>
      </c>
      <c r="K43" s="36">
        <f t="shared" si="3"/>
        <v>26.716584257263243</v>
      </c>
    </row>
    <row r="44" spans="1:11" ht="30" hidden="1" x14ac:dyDescent="0.25">
      <c r="A44" s="1" t="s">
        <v>24</v>
      </c>
      <c r="B44" s="1" t="s">
        <v>29</v>
      </c>
      <c r="C44" s="1" t="s">
        <v>41</v>
      </c>
      <c r="D44" s="30" t="s">
        <v>15</v>
      </c>
      <c r="E44" s="2">
        <v>0</v>
      </c>
      <c r="F44" s="2">
        <v>18</v>
      </c>
      <c r="G44" s="3">
        <v>0</v>
      </c>
      <c r="H44" s="2">
        <v>0</v>
      </c>
      <c r="I44" s="17">
        <f t="shared" si="2"/>
        <v>18</v>
      </c>
      <c r="J44" s="17">
        <v>5</v>
      </c>
      <c r="K44" s="36">
        <f t="shared" si="3"/>
        <v>23.563681481313655</v>
      </c>
    </row>
    <row r="45" spans="1:11" ht="37.5" hidden="1" customHeight="1" x14ac:dyDescent="0.25">
      <c r="A45" s="15" t="s">
        <v>24</v>
      </c>
      <c r="B45" s="20" t="s">
        <v>29</v>
      </c>
      <c r="C45" s="28" t="s">
        <v>47</v>
      </c>
      <c r="D45" t="s">
        <v>23</v>
      </c>
      <c r="E45" s="27">
        <v>0</v>
      </c>
      <c r="F45" s="27">
        <v>6</v>
      </c>
      <c r="G45" s="25">
        <v>12</v>
      </c>
      <c r="H45" s="27">
        <v>2</v>
      </c>
      <c r="I45" s="17">
        <f t="shared" si="2"/>
        <v>20</v>
      </c>
      <c r="J45" s="17">
        <v>5</v>
      </c>
      <c r="K45" s="36">
        <f t="shared" si="3"/>
        <v>22.355091700494793</v>
      </c>
    </row>
    <row r="46" spans="1:11" ht="60" hidden="1" x14ac:dyDescent="0.25">
      <c r="A46" s="1" t="s">
        <v>24</v>
      </c>
      <c r="B46" s="1" t="s">
        <v>29</v>
      </c>
      <c r="C46" s="21" t="s">
        <v>36</v>
      </c>
      <c r="D46" s="30" t="s">
        <v>15</v>
      </c>
      <c r="E46" s="2">
        <v>12</v>
      </c>
      <c r="F46" s="2">
        <v>0</v>
      </c>
      <c r="G46" s="3">
        <v>12</v>
      </c>
      <c r="H46" s="2">
        <v>0</v>
      </c>
      <c r="I46" s="17">
        <f t="shared" si="2"/>
        <v>24</v>
      </c>
      <c r="J46" s="17">
        <v>5</v>
      </c>
      <c r="K46" s="36">
        <f t="shared" si="3"/>
        <v>20.408163265306118</v>
      </c>
    </row>
    <row r="47" spans="1:11" hidden="1" x14ac:dyDescent="0.25">
      <c r="A47" s="14" t="s">
        <v>24</v>
      </c>
      <c r="B47" s="1" t="s">
        <v>25</v>
      </c>
      <c r="C47" s="26" t="s">
        <v>26</v>
      </c>
      <c r="D47" s="30" t="s">
        <v>15</v>
      </c>
      <c r="E47" s="2">
        <v>24</v>
      </c>
      <c r="F47" s="3">
        <v>0</v>
      </c>
      <c r="G47" s="3">
        <v>0</v>
      </c>
      <c r="H47" s="2">
        <v>2</v>
      </c>
      <c r="I47" s="17">
        <f t="shared" si="2"/>
        <v>26</v>
      </c>
      <c r="J47" s="17">
        <v>5</v>
      </c>
      <c r="K47" s="36">
        <f t="shared" si="3"/>
        <v>19.6078431372549</v>
      </c>
    </row>
    <row r="48" spans="1:11" ht="45" hidden="1" customHeight="1" x14ac:dyDescent="0.25">
      <c r="A48" s="15" t="s">
        <v>24</v>
      </c>
      <c r="B48" s="20" t="s">
        <v>29</v>
      </c>
      <c r="C48" s="1" t="s">
        <v>46</v>
      </c>
      <c r="D48" s="34" t="s">
        <v>21</v>
      </c>
      <c r="E48" s="2">
        <v>6</v>
      </c>
      <c r="F48" s="2">
        <v>12</v>
      </c>
      <c r="G48" s="3">
        <v>0</v>
      </c>
      <c r="H48" s="2">
        <v>12</v>
      </c>
      <c r="I48" s="17">
        <f t="shared" si="2"/>
        <v>30</v>
      </c>
      <c r="J48" s="17">
        <v>5</v>
      </c>
      <c r="K48" s="36">
        <f t="shared" si="3"/>
        <v>18.254376440922808</v>
      </c>
    </row>
    <row r="49" spans="1:11" ht="30" hidden="1" x14ac:dyDescent="0.25">
      <c r="A49" s="15" t="s">
        <v>24</v>
      </c>
      <c r="B49" s="20" t="s">
        <v>29</v>
      </c>
      <c r="C49" s="1" t="s">
        <v>45</v>
      </c>
      <c r="D49" s="34" t="s">
        <v>21</v>
      </c>
      <c r="E49" s="2">
        <v>30</v>
      </c>
      <c r="F49" s="2">
        <v>0</v>
      </c>
      <c r="G49" s="3">
        <v>0</v>
      </c>
      <c r="H49" s="2">
        <v>2</v>
      </c>
      <c r="I49" s="17">
        <f t="shared" si="2"/>
        <v>32</v>
      </c>
      <c r="J49" s="17">
        <v>5</v>
      </c>
      <c r="K49" s="36">
        <f t="shared" si="3"/>
        <v>17.674908041006731</v>
      </c>
    </row>
    <row r="50" spans="1:11" ht="30" hidden="1" x14ac:dyDescent="0.25">
      <c r="A50" s="1" t="s">
        <v>24</v>
      </c>
      <c r="B50" s="1" t="s">
        <v>29</v>
      </c>
      <c r="C50" s="27" t="s">
        <v>48</v>
      </c>
      <c r="D50" t="s">
        <v>23</v>
      </c>
      <c r="E50" s="27">
        <v>12</v>
      </c>
      <c r="F50" s="27">
        <v>12</v>
      </c>
      <c r="G50" s="25">
        <v>12</v>
      </c>
      <c r="H50" s="27">
        <v>0</v>
      </c>
      <c r="I50" s="17">
        <f t="shared" si="2"/>
        <v>36</v>
      </c>
      <c r="J50" s="17">
        <v>5</v>
      </c>
      <c r="K50" s="36">
        <f t="shared" si="3"/>
        <v>16.664352333993332</v>
      </c>
    </row>
    <row r="51" spans="1:11" ht="30" hidden="1" x14ac:dyDescent="0.25">
      <c r="A51" s="15" t="s">
        <v>24</v>
      </c>
      <c r="B51" s="20" t="s">
        <v>29</v>
      </c>
      <c r="C51" s="1" t="s">
        <v>44</v>
      </c>
      <c r="D51" s="34" t="s">
        <v>21</v>
      </c>
      <c r="E51" s="2">
        <v>12</v>
      </c>
      <c r="F51" s="2">
        <v>24</v>
      </c>
      <c r="G51" s="3">
        <v>6</v>
      </c>
      <c r="H51" s="2">
        <v>2</v>
      </c>
      <c r="I51" s="17">
        <f t="shared" si="2"/>
        <v>44</v>
      </c>
      <c r="J51" s="17">
        <v>5</v>
      </c>
      <c r="K51" s="36">
        <f t="shared" si="3"/>
        <v>15.073854388204486</v>
      </c>
    </row>
    <row r="52" spans="1:11" ht="30" hidden="1" x14ac:dyDescent="0.25">
      <c r="A52" s="1" t="s">
        <v>24</v>
      </c>
      <c r="B52" s="1" t="s">
        <v>29</v>
      </c>
      <c r="C52" s="21" t="s">
        <v>37</v>
      </c>
      <c r="D52" s="30" t="s">
        <v>15</v>
      </c>
      <c r="E52" s="2">
        <v>30</v>
      </c>
      <c r="F52" s="2">
        <v>60</v>
      </c>
      <c r="G52" s="3">
        <v>30</v>
      </c>
      <c r="H52" s="2">
        <v>12</v>
      </c>
      <c r="I52" s="17">
        <f t="shared" si="2"/>
        <v>132</v>
      </c>
      <c r="J52" s="17">
        <v>5</v>
      </c>
      <c r="K52" s="36">
        <f t="shared" si="3"/>
        <v>8.7035531239860209</v>
      </c>
    </row>
    <row r="53" spans="1:11" ht="30" hidden="1" x14ac:dyDescent="0.25">
      <c r="A53" s="1" t="s">
        <v>24</v>
      </c>
      <c r="B53" s="1" t="s">
        <v>29</v>
      </c>
      <c r="C53" s="1" t="s">
        <v>31</v>
      </c>
      <c r="D53" s="30" t="s">
        <v>15</v>
      </c>
      <c r="E53" s="2">
        <v>0</v>
      </c>
      <c r="F53" s="2">
        <v>500</v>
      </c>
      <c r="G53" s="3">
        <v>0</v>
      </c>
      <c r="H53" s="2">
        <v>0</v>
      </c>
      <c r="I53" s="17">
        <f t="shared" si="2"/>
        <v>500</v>
      </c>
      <c r="J53" s="17">
        <v>5</v>
      </c>
      <c r="K53" s="36">
        <f t="shared" si="3"/>
        <v>4.472091234310839</v>
      </c>
    </row>
  </sheetData>
  <autoFilter ref="A1:L53" xr:uid="{5B065B42-72D4-46A7-8F68-0B3E084D5031}">
    <filterColumn colId="0">
      <filters>
        <filter val="N/A"/>
      </filters>
    </filterColumn>
    <sortState xmlns:xlrd2="http://schemas.microsoft.com/office/spreadsheetml/2017/richdata2" ref="A2:L53">
      <sortCondition descending="1" ref="K1:K53"/>
    </sortState>
  </autoFilter>
  <pageMargins left="0.7" right="0.7" top="0.75" bottom="0.75" header="0.3" footer="0.3"/>
  <headerFooter>
    <oddHeader>&amp;L&amp;"Aptos"&amp;10&amp;K000000 Interno&amp;1#_x000D_</oddHeader>
    <oddFooter>&amp;R_x000D_&amp;1#&amp;"Aptos"&amp;10&amp;K000000 Interno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I28"/>
  <sheetViews>
    <sheetView workbookViewId="0">
      <selection activeCell="E14" sqref="E14"/>
    </sheetView>
  </sheetViews>
  <sheetFormatPr defaultRowHeight="15" x14ac:dyDescent="0.25"/>
  <cols>
    <col min="2" max="2" width="22.5703125" customWidth="1"/>
    <col min="3" max="3" width="12.28515625" customWidth="1"/>
    <col min="4" max="4" width="14.7109375" customWidth="1"/>
    <col min="5" max="5" width="10.140625" bestFit="1" customWidth="1"/>
  </cols>
  <sheetData>
    <row r="3" spans="2:9" x14ac:dyDescent="0.25">
      <c r="I3" s="4"/>
    </row>
    <row r="4" spans="2:9" x14ac:dyDescent="0.25">
      <c r="C4" t="s">
        <v>85</v>
      </c>
      <c r="D4" t="s">
        <v>86</v>
      </c>
    </row>
    <row r="5" spans="2:9" x14ac:dyDescent="0.25">
      <c r="C5" t="s">
        <v>87</v>
      </c>
      <c r="D5">
        <v>6</v>
      </c>
    </row>
    <row r="6" spans="2:9" x14ac:dyDescent="0.25">
      <c r="C6" t="s">
        <v>88</v>
      </c>
      <c r="D6">
        <v>6</v>
      </c>
    </row>
    <row r="7" spans="2:9" x14ac:dyDescent="0.25">
      <c r="C7" t="s">
        <v>89</v>
      </c>
      <c r="D7">
        <v>4</v>
      </c>
    </row>
    <row r="8" spans="2:9" x14ac:dyDescent="0.25">
      <c r="C8" t="s">
        <v>90</v>
      </c>
      <c r="D8">
        <v>4</v>
      </c>
    </row>
    <row r="9" spans="2:9" x14ac:dyDescent="0.25">
      <c r="C9" t="s">
        <v>91</v>
      </c>
      <c r="D9">
        <v>2</v>
      </c>
    </row>
    <row r="10" spans="2:9" x14ac:dyDescent="0.25">
      <c r="C10" t="s">
        <v>92</v>
      </c>
      <c r="D10">
        <v>6</v>
      </c>
    </row>
    <row r="11" spans="2:9" x14ac:dyDescent="0.25">
      <c r="C11" t="s">
        <v>93</v>
      </c>
      <c r="D11" s="5">
        <f>SUM(D5:D10)</f>
        <v>28</v>
      </c>
    </row>
    <row r="12" spans="2:9" ht="15.75" x14ac:dyDescent="0.25">
      <c r="B12" t="s">
        <v>94</v>
      </c>
      <c r="C12">
        <v>10</v>
      </c>
      <c r="D12" s="5" t="s">
        <v>95</v>
      </c>
      <c r="E12" s="6">
        <f>(D11*C12-C21)</f>
        <v>268</v>
      </c>
      <c r="I12" t="s">
        <v>96</v>
      </c>
    </row>
    <row r="13" spans="2:9" ht="15.75" x14ac:dyDescent="0.25">
      <c r="D13" s="5" t="s">
        <v>97</v>
      </c>
      <c r="E13" s="6">
        <f>(E12*2)</f>
        <v>536</v>
      </c>
    </row>
    <row r="14" spans="2:9" ht="15.75" x14ac:dyDescent="0.25">
      <c r="D14" s="5" t="s">
        <v>98</v>
      </c>
      <c r="E14" s="6">
        <f>(E13*3)</f>
        <v>1608</v>
      </c>
    </row>
    <row r="16" spans="2:9" x14ac:dyDescent="0.25">
      <c r="B16" s="7" t="s">
        <v>99</v>
      </c>
      <c r="C16" s="8"/>
    </row>
    <row r="17" spans="2:3" x14ac:dyDescent="0.25">
      <c r="B17" s="9" t="s">
        <v>100</v>
      </c>
      <c r="C17" s="10">
        <v>1</v>
      </c>
    </row>
    <row r="18" spans="2:3" x14ac:dyDescent="0.25">
      <c r="B18" s="9" t="s">
        <v>101</v>
      </c>
      <c r="C18" s="10">
        <v>6</v>
      </c>
    </row>
    <row r="19" spans="2:3" ht="30" x14ac:dyDescent="0.25">
      <c r="B19" s="9" t="s">
        <v>102</v>
      </c>
      <c r="C19" s="10">
        <v>4</v>
      </c>
    </row>
    <row r="20" spans="2:3" x14ac:dyDescent="0.25">
      <c r="B20" s="9" t="s">
        <v>103</v>
      </c>
      <c r="C20" s="10">
        <v>1</v>
      </c>
    </row>
    <row r="21" spans="2:3" x14ac:dyDescent="0.25">
      <c r="B21" s="11"/>
      <c r="C21" s="12">
        <f>SUM(C17:C20)</f>
        <v>12</v>
      </c>
    </row>
    <row r="27" spans="2:3" x14ac:dyDescent="0.25">
      <c r="B27" t="s">
        <v>104</v>
      </c>
    </row>
    <row r="28" spans="2:3" x14ac:dyDescent="0.25">
      <c r="B28" t="s">
        <v>105</v>
      </c>
    </row>
  </sheetData>
  <pageMargins left="0.7" right="0.7" top="0.75" bottom="0.75" header="0.3" footer="0.3"/>
  <headerFooter>
    <oddHeader>&amp;L&amp;"Aptos"&amp;10&amp;K000000 Interno&amp;1#_x000D_</oddHeader>
    <oddFooter>&amp;R_x000D_&amp;1#&amp;"Aptos"&amp;10&amp;K000000 Interno</oddFoot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3E2413248AD144EB4F352681303D788" ma:contentTypeVersion="11" ma:contentTypeDescription="Create a new document." ma:contentTypeScope="" ma:versionID="e915d9c603a07a4fc4694295454b5583">
  <xsd:schema xmlns:xsd="http://www.w3.org/2001/XMLSchema" xmlns:xs="http://www.w3.org/2001/XMLSchema" xmlns:p="http://schemas.microsoft.com/office/2006/metadata/properties" xmlns:ns2="898695ca-150f-4d53-a1a4-27c213b72f41" xmlns:ns3="11e3fce6-e222-4248-a00d-b3b33ed830c1" targetNamespace="http://schemas.microsoft.com/office/2006/metadata/properties" ma:root="true" ma:fieldsID="b1e7ba0d6315b4b8ad6fa6ed50b7c17a" ns2:_="" ns3:_="">
    <xsd:import namespace="898695ca-150f-4d53-a1a4-27c213b72f41"/>
    <xsd:import namespace="11e3fce6-e222-4248-a00d-b3b33ed830c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8695ca-150f-4d53-a1a4-27c213b72f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c45801d-319f-4d26-ad81-31594094f9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3fce6-e222-4248-a00d-b3b33ed830c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d540988-c6ac-4f61-873d-cd5d62a4b383}" ma:internalName="TaxCatchAll" ma:showField="CatchAllData" ma:web="11e3fce6-e222-4248-a00d-b3b33ed830c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8695ca-150f-4d53-a1a4-27c213b72f41">
      <Terms xmlns="http://schemas.microsoft.com/office/infopath/2007/PartnerControls"/>
    </lcf76f155ced4ddcb4097134ff3c332f>
    <TaxCatchAll xmlns="11e3fce6-e222-4248-a00d-b3b33ed830c1" xsi:nil="true"/>
  </documentManagement>
</p:properties>
</file>

<file path=customXml/itemProps1.xml><?xml version="1.0" encoding="utf-8"?>
<ds:datastoreItem xmlns:ds="http://schemas.openxmlformats.org/officeDocument/2006/customXml" ds:itemID="{0855675D-7A7E-4EB6-A046-05A9ACCF1C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91A5FB6-33BD-4B1F-88D8-436DAE7CA6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8695ca-150f-4d53-a1a4-27c213b72f41"/>
    <ds:schemaRef ds:uri="11e3fce6-e222-4248-a00d-b3b33ed830c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4EFCDE8-B628-4468-B13F-930C6557CB2F}">
  <ds:schemaRefs>
    <ds:schemaRef ds:uri="http://schemas.openxmlformats.org/package/2006/metadata/core-properties"/>
    <ds:schemaRef ds:uri="http://purl.org/dc/terms/"/>
    <ds:schemaRef ds:uri="http://www.w3.org/XML/1998/namespace"/>
    <ds:schemaRef ds:uri="http://schemas.microsoft.com/office/2006/metadata/properties"/>
    <ds:schemaRef ds:uri="898695ca-150f-4d53-a1a4-27c213b72f41"/>
    <ds:schemaRef ds:uri="http://purl.org/dc/dcmitype/"/>
    <ds:schemaRef ds:uri="11e3fce6-e222-4248-a00d-b3b33ed830c1"/>
    <ds:schemaRef ds:uri="http://schemas.microsoft.com/office/2006/documentManagement/types"/>
    <ds:schemaRef ds:uri="http://schemas.microsoft.com/office/infopath/2007/PartnerControl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</vt:lpstr>
      <vt:lpstr>Capacity_Velocity(horas)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 Diegues</dc:creator>
  <cp:keywords/>
  <dc:description/>
  <cp:lastModifiedBy>Rafael Amancio Diegues</cp:lastModifiedBy>
  <cp:revision/>
  <dcterms:created xsi:type="dcterms:W3CDTF">2026-03-12T19:08:14Z</dcterms:created>
  <dcterms:modified xsi:type="dcterms:W3CDTF">2026-03-17T21:51:43Z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0x01010023E2413248AD144EB4F352681303D788</vt:lpwstr>
  </property>
  <property fmtid="{D5CDD505-2E9C-101B-9397-08002B2CF9AE}" pid="3" name="MSIP_Label_6288130d-5101-4830-99be-3b599ae91491_Enabled">
    <vt:lpwstr>true</vt:lpwstr>
  </property>
  <property fmtid="{D5CDD505-2E9C-101B-9397-08002B2CF9AE}" pid="4" name="MSIP_Label_6288130d-5101-4830-99be-3b599ae91491_SetDate">
    <vt:lpwstr>2026-03-13T15:15:02Z</vt:lpwstr>
  </property>
  <property fmtid="{D5CDD505-2E9C-101B-9397-08002B2CF9AE}" pid="5" name="MSIP_Label_6288130d-5101-4830-99be-3b599ae91491_Method">
    <vt:lpwstr>Privileged</vt:lpwstr>
  </property>
  <property fmtid="{D5CDD505-2E9C-101B-9397-08002B2CF9AE}" pid="6" name="MSIP_Label_6288130d-5101-4830-99be-3b599ae91491_Name">
    <vt:lpwstr>Interno</vt:lpwstr>
  </property>
  <property fmtid="{D5CDD505-2E9C-101B-9397-08002B2CF9AE}" pid="7" name="MSIP_Label_6288130d-5101-4830-99be-3b599ae91491_SiteId">
    <vt:lpwstr>a38e94f2-456e-47b2-b626-d54f18cebc92</vt:lpwstr>
  </property>
  <property fmtid="{D5CDD505-2E9C-101B-9397-08002B2CF9AE}" pid="8" name="MSIP_Label_6288130d-5101-4830-99be-3b599ae91491_ActionId">
    <vt:lpwstr>fb998218-a6fe-4a5d-89f5-75279daf7deb</vt:lpwstr>
  </property>
  <property fmtid="{D5CDD505-2E9C-101B-9397-08002B2CF9AE}" pid="9" name="MSIP_Label_6288130d-5101-4830-99be-3b599ae91491_ContentBits">
    <vt:lpwstr>3</vt:lpwstr>
  </property>
  <property fmtid="{D5CDD505-2E9C-101B-9397-08002B2CF9AE}" pid="10" name="MSIP_Label_6288130d-5101-4830-99be-3b599ae91491_Tag">
    <vt:lpwstr>10, 0, 1, 1</vt:lpwstr>
  </property>
  <property fmtid="{D5CDD505-2E9C-101B-9397-08002B2CF9AE}" pid="11" name="MediaServiceImageTags">
    <vt:lpwstr/>
  </property>
</Properties>
</file>