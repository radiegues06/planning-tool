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onsultor Noorden\Desktop\planning-tool\"/>
    </mc:Choice>
  </mc:AlternateContent>
  <xr:revisionPtr revIDLastSave="0" documentId="13_ncr:1_{858D3C0E-6270-46C7-94DE-212C6DEA8FE4}" xr6:coauthVersionLast="47" xr6:coauthVersionMax="47" xr10:uidLastSave="{00000000-0000-0000-0000-000000000000}"/>
  <bookViews>
    <workbookView xWindow="-120" yWindow="-120" windowWidth="20730" windowHeight="11040" tabRatio="466" xr2:uid="{00000000-000D-0000-FFFF-FFFF00000000}"/>
  </bookViews>
  <sheets>
    <sheet name="Backlog" sheetId="2" r:id="rId1"/>
    <sheet name="Capacity_Velocity(horas)" sheetId="1" r:id="rId2"/>
  </sheets>
  <definedNames>
    <definedName name="_xlnm._FilterDatabase" localSheetId="0" hidden="1">Backlog!$A$1:$L$53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2" l="1"/>
  <c r="K16" i="2" s="1"/>
  <c r="I17" i="2"/>
  <c r="K17" i="2" s="1"/>
  <c r="I27" i="2"/>
  <c r="K27" i="2" s="1"/>
  <c r="I11" i="2"/>
  <c r="K11" i="2" s="1"/>
  <c r="I47" i="2"/>
  <c r="K47" i="2" s="1"/>
  <c r="I2" i="2"/>
  <c r="K2" i="2" s="1"/>
  <c r="I9" i="2"/>
  <c r="K9" i="2" s="1"/>
  <c r="I43" i="2"/>
  <c r="K43" i="2" s="1"/>
  <c r="I53" i="2"/>
  <c r="K53" i="2" s="1"/>
  <c r="I35" i="2"/>
  <c r="K35" i="2" s="1"/>
  <c r="I36" i="2"/>
  <c r="K36" i="2" s="1"/>
  <c r="I39" i="2"/>
  <c r="K39" i="2" s="1"/>
  <c r="I37" i="2"/>
  <c r="K37" i="2" s="1"/>
  <c r="I46" i="2"/>
  <c r="K46" i="2" s="1"/>
  <c r="I52" i="2"/>
  <c r="K52" i="2" s="1"/>
  <c r="I40" i="2"/>
  <c r="K40" i="2" s="1"/>
  <c r="I41" i="2"/>
  <c r="K41" i="2" s="1"/>
  <c r="I38" i="2"/>
  <c r="K38" i="2" s="1"/>
  <c r="I44" i="2"/>
  <c r="K44" i="2" s="1"/>
  <c r="I42" i="2"/>
  <c r="K42" i="2" s="1"/>
  <c r="I51" i="2"/>
  <c r="K51" i="2" s="1"/>
  <c r="I49" i="2"/>
  <c r="K49" i="2" s="1"/>
  <c r="I48" i="2"/>
  <c r="K48" i="2" s="1"/>
  <c r="I45" i="2"/>
  <c r="K45" i="2" s="1"/>
  <c r="I50" i="2"/>
  <c r="K50" i="2" s="1"/>
  <c r="I24" i="2"/>
  <c r="K24" i="2" s="1"/>
  <c r="I19" i="2"/>
  <c r="K19" i="2" s="1"/>
  <c r="I32" i="2"/>
  <c r="K32" i="2" s="1"/>
  <c r="I29" i="2"/>
  <c r="K29" i="2" s="1"/>
  <c r="I31" i="2"/>
  <c r="K31" i="2" s="1"/>
  <c r="I5" i="2"/>
  <c r="K5" i="2" s="1"/>
  <c r="I6" i="2"/>
  <c r="K6" i="2" s="1"/>
  <c r="I7" i="2"/>
  <c r="K7" i="2" s="1"/>
  <c r="I8" i="2"/>
  <c r="K8" i="2" s="1"/>
  <c r="I33" i="2"/>
  <c r="K33" i="2" s="1"/>
  <c r="I13" i="2"/>
  <c r="K13" i="2" s="1"/>
  <c r="I10" i="2"/>
  <c r="K10" i="2" s="1"/>
  <c r="I3" i="2"/>
  <c r="K3" i="2" s="1"/>
  <c r="I20" i="2"/>
  <c r="K20" i="2" s="1"/>
  <c r="I21" i="2"/>
  <c r="K21" i="2" s="1"/>
  <c r="I23" i="2"/>
  <c r="K23" i="2" s="1"/>
  <c r="I34" i="2"/>
  <c r="K34" i="2" s="1"/>
  <c r="I18" i="2"/>
  <c r="K18" i="2" s="1"/>
  <c r="I14" i="2"/>
  <c r="K14" i="2" s="1"/>
  <c r="I15" i="2"/>
  <c r="K15" i="2" s="1"/>
  <c r="I28" i="2"/>
  <c r="K28" i="2" s="1"/>
  <c r="I30" i="2"/>
  <c r="K30" i="2" s="1"/>
  <c r="I26" i="2"/>
  <c r="K26" i="2" s="1"/>
  <c r="I4" i="2"/>
  <c r="K4" i="2" s="1"/>
  <c r="F12" i="2"/>
  <c r="I12" i="2" s="1"/>
  <c r="K12" i="2" s="1"/>
  <c r="H22" i="2"/>
  <c r="I22" i="2" s="1"/>
  <c r="K22" i="2" s="1"/>
  <c r="F22" i="2"/>
  <c r="I25" i="2"/>
  <c r="K25" i="2" s="1"/>
  <c r="E14" i="1"/>
  <c r="E13" i="1"/>
  <c r="E12" i="1"/>
  <c r="C21" i="1"/>
  <c r="D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tc={5E7ADAE3-BFAF-4354-AE7C-4DA203F90938}</author>
    <author>tc={C17263A4-E425-444C-BF97-70B1448F129A}</author>
    <author>tc={4ACDD4B6-EB3F-4684-99D5-3EA6906C96CE}</author>
    <author>tc={5050488C-96D1-43A8-9998-3148830ABB2C}</author>
  </authors>
  <commentList>
    <comment ref="C5" authorId="0" shapeId="0" xr:uid="{5E7ADAE3-BFAF-4354-AE7C-4DA203F90938}">
      <text>
        <t>[Comentário encadeado]
Sua versão do Excel permite que você leia este comentário encadeado, no entanto, as edições serão removidas se o arquivo for aberto em uma versão mais recente do Excel. Saiba mais: https://go.microsoft.com/fwlink/?linkid=870924
Comentário:
    Eu subiria um pouco de prioridade (talvez 2) os épicos de sistematização porque eles podem ajudar na conformidade e no tempo de gerar as MFs. No frontend alguns filtros básicos já podem ser feitos para garantir menos problemas de ingestão ou dados errados.
De todo modo esses desenvolvimentos tem um pouco menos de competição pelo tipo de recurso que utiliza, e devem ser feitos no futuro mais próximo
Responder:
    Concordo. Subi aqui a prioridade. Temos que avaliar porque temos uma sequência grande de homologações travadas já, mas acho que vale o push para o time de negócio.</t>
      </text>
    </comment>
    <comment ref="C13" authorId="1" shapeId="0" xr:uid="{C17263A4-E425-444C-BF97-70B1448F129A}">
      <text>
        <t>[Comentário encadeado]
Sua versão do Excel permite que você leia este comentário encadeado, no entanto, as edições serão removidas se o arquivo for aberto em uma versão mais recente do Excel. Saiba mais: https://go.microsoft.com/fwlink/?linkid=870924
Comentário:
    Acredito que esse item por estar quente e afetar algumas respostas na visão de prontidão, podem ser mais prioritário no OTM2 que aquela questão de bandas na na função objetivo que ficou com prioridade 1. Eu as inverteria</t>
      </text>
    </comment>
    <comment ref="C32" authorId="2" shapeId="0" xr:uid="{4ACDD4B6-EB3F-4684-99D5-3EA6906C96CE}">
      <text>
        <t>[Comentário encadeado]
Sua versão do Excel permite que você leia este comentário encadeado, no entanto, as edições serão removidas se o arquivo for aberto em uma versão mais recente do Excel. Saiba mais: https://go.microsoft.com/fwlink/?linkid=870924
Comentário:
    Eu entendi o ponto das features de monitoramente estejam a frente das de produtização que são 100% técnicas, porque elas trazem valor pro time de negócio.
Eu só levaria em conta o risco de demorar a produtização técnica e isso poder ficar muito pra frente e ter problemas de orçamento ano que vem. Mas do ponto de vista de negócios, estou de acordo com a ordem</t>
      </text>
    </comment>
    <comment ref="C53" authorId="3" shapeId="0" xr:uid="{5050488C-96D1-43A8-9998-3148830ABB2C}">
      <text>
        <t>[Comentário encadeado]
Sua versão do Excel permite que você leia este comentário encadeado, no entanto, as edições serão removidas se o arquivo for aberto em uma versão mais recente do Excel. Saiba mais: https://go.microsoft.com/fwlink/?linkid=870924
Comentário:
    A princípio, não será realizado, dada sistematização e integração</t>
      </text>
    </comment>
  </commentList>
</comments>
</file>

<file path=xl/sharedStrings.xml><?xml version="1.0" encoding="utf-8"?>
<sst xmlns="http://schemas.openxmlformats.org/spreadsheetml/2006/main" count="241" uniqueCount="106">
  <si>
    <t>Indicadores</t>
  </si>
  <si>
    <t>Épicos</t>
  </si>
  <si>
    <t>Features</t>
  </si>
  <si>
    <t>Origem</t>
  </si>
  <si>
    <t>Esforço DE</t>
  </si>
  <si>
    <t>Esforço DS</t>
  </si>
  <si>
    <t>Esforço FE</t>
  </si>
  <si>
    <t>Esforço PO</t>
  </si>
  <si>
    <t>Esforço Total</t>
  </si>
  <si>
    <t>Priorização</t>
  </si>
  <si>
    <t>Score</t>
  </si>
  <si>
    <t>Mês sugerido</t>
  </si>
  <si>
    <t>Produtização</t>
  </si>
  <si>
    <t>Integração</t>
  </si>
  <si>
    <t>Integração com SAP/Datalake (Para extrair automaticamente ZPS80)</t>
  </si>
  <si>
    <t>Backlog Priorizado</t>
  </si>
  <si>
    <t>Prontidão</t>
  </si>
  <si>
    <t xml:space="preserve">Gestão de Processo </t>
  </si>
  <si>
    <t>Olhar o longo prazo avaliando otimizador 2</t>
  </si>
  <si>
    <t>Should Cost</t>
  </si>
  <si>
    <t>Visibilidade de indicadores Shoud Cost</t>
  </si>
  <si>
    <t>Criar output executivo replicando premissas da calculadora do Negocia+ (Suprimentos)</t>
  </si>
  <si>
    <t>Realizar a Integração automatica com o LECOM</t>
  </si>
  <si>
    <t>Melhorar Modelo Matemático OTM2</t>
  </si>
  <si>
    <t>[Melhoria][Baixo] Introduzir bandas de custo na função objetivo</t>
  </si>
  <si>
    <t>Backlog Parting Lote-BCG</t>
  </si>
  <si>
    <t>Visibilidade e Acompanhamento de indicadores relacionados à prodidão</t>
  </si>
  <si>
    <t>Mensurar o impacto da implementação da prorrogação</t>
  </si>
  <si>
    <t>Conformidade</t>
  </si>
  <si>
    <t>Melhorar Modelo Matemático OTM1</t>
  </si>
  <si>
    <t>Criar Flag para priorização de pex criticos</t>
  </si>
  <si>
    <t>Novo</t>
  </si>
  <si>
    <t>Migração para ambiente de produção</t>
  </si>
  <si>
    <t>[Melhoria][Baixo] Permitir rodar o Otimizador 2 com alvo fixo de kms de prontidão por período, sem depender do Otimizador 1</t>
  </si>
  <si>
    <t>Automatizar indicadores no output dos planos gerados nas rodadas de otimização</t>
  </si>
  <si>
    <t>Sistematização</t>
  </si>
  <si>
    <t>Sistematização dos dados de RDO(Relatório diarios de obras)</t>
  </si>
  <si>
    <t>Sistematização das informações de assentamentos</t>
  </si>
  <si>
    <t>Sistematização das informações de arquetipos</t>
  </si>
  <si>
    <t>Sistematização das informações de construcão</t>
  </si>
  <si>
    <t>Exibição de indicadores executivos</t>
  </si>
  <si>
    <t>Considerar trabalho aos Fins de semana</t>
  </si>
  <si>
    <t>Avaliar incorporação de dados de autorização para trabalhos noturnos e aos fins de semana</t>
  </si>
  <si>
    <t>Monitoramento</t>
  </si>
  <si>
    <t>Executar a Pipeline de consistências antes da otimização</t>
  </si>
  <si>
    <t>[OTM2] Feature mais de uma regra de inicio de projeto por municipio</t>
  </si>
  <si>
    <t>[GATE 2] Calcular prontidão por contratada e região (Novo Filtro)</t>
  </si>
  <si>
    <t>Criar 4 relatórios com dados para suportar decisões de prontidão</t>
  </si>
  <si>
    <t>[Melhoria][Média] Criar uma lista de exceções para o Otimizador 2</t>
  </si>
  <si>
    <t>Melhorar relatório de erros da ingestão</t>
  </si>
  <si>
    <t>Aderência</t>
  </si>
  <si>
    <t xml:space="preserve">Visibilidade de idicadoes de Aderência </t>
  </si>
  <si>
    <t>Disponibilizar para o time de negócio um dashboard de Aderencia</t>
  </si>
  <si>
    <t>Alteração no Otimizador 2 considerando os projetos Plano B</t>
  </si>
  <si>
    <t>Simulador de Should Cost</t>
  </si>
  <si>
    <t>Funcionalidade para simulações de cenários de Should Cost</t>
  </si>
  <si>
    <t>[Melhoria][Baixa] Flexibilizar datas de construção sugeridas pelo Otimizador 1 com penalização (restrições soft)</t>
  </si>
  <si>
    <t xml:space="preserve">Criar ferramenta visual de comparação de should cost entre os planos </t>
  </si>
  <si>
    <t>Painel de acompanhamento dos indicadores técnicos de performance do modelo (Gap, runtime)</t>
  </si>
  <si>
    <t>Expansão de escopo</t>
  </si>
  <si>
    <t>[Melhoria][Baixo +] Adicionar escopo de vala aberta / loteamento</t>
  </si>
  <si>
    <t>Elaborar relatório de erros da otimização</t>
  </si>
  <si>
    <t>[Melhoria][Médio] Validar expectativas não cumpridas entre execuções automaticamente</t>
  </si>
  <si>
    <t>Visualizações adicionais no produto</t>
  </si>
  <si>
    <t>Criar uma gestão visual do acompanhamento da MF</t>
  </si>
  <si>
    <t>[Melhoria][Media] Identificar automaticamente gargalos por semana, região ou fase</t>
  </si>
  <si>
    <t>ADF - Repositório de engenharia de dados</t>
  </si>
  <si>
    <t>Repositório do front-end</t>
  </si>
  <si>
    <t>Migrar banco de dados do front-end</t>
  </si>
  <si>
    <t>Jobs e workflows no Databricks</t>
  </si>
  <si>
    <t>Migrar servidores que executam a aplicação do front-end (serviços do back e do front)</t>
  </si>
  <si>
    <t>Processo de CI/CD</t>
  </si>
  <si>
    <t>Tabelas no Databricks</t>
  </si>
  <si>
    <t>Analisar os 600 projetos alocados na MF de Outubro</t>
  </si>
  <si>
    <t>Remover débito técnico de mapeamento de capacidade dos municípios que está direto no código</t>
  </si>
  <si>
    <t>Repositório de ciência de dados (Tatubo)</t>
  </si>
  <si>
    <t>Flags na interface gráfica para consideração das excessões (individualmente) para facilitar não atualizar os inputs</t>
  </si>
  <si>
    <t>Integração entre ambientes
i. Disparo automático (Servidor-ADF)
ii. Comunicação entre sistemas para tráfego de dados (Servidor-Databricks)</t>
  </si>
  <si>
    <t>Integração Service Now</t>
  </si>
  <si>
    <t>Mapear os impactos da descontinuidade da GP (Ex: cadastros, plano vigente)</t>
  </si>
  <si>
    <t>Criar ambiente para armazenar e tagear dados dos cenários simulados (inputs e outputs)</t>
  </si>
  <si>
    <t>Débito técnico de desenvolvimentos hardcoded</t>
  </si>
  <si>
    <t>[Melhoria][Baixo] Permitir rodar subconjuntos dos dados via filtro manual para ingestão</t>
  </si>
  <si>
    <t>Documentações</t>
  </si>
  <si>
    <t>Arquivos no Sharepoint</t>
  </si>
  <si>
    <t>Capacity</t>
  </si>
  <si>
    <t>Horas útil dia</t>
  </si>
  <si>
    <t>Eiel</t>
  </si>
  <si>
    <t>Felipe</t>
  </si>
  <si>
    <t>Marcelo</t>
  </si>
  <si>
    <t xml:space="preserve">Rafeal </t>
  </si>
  <si>
    <t>Camila</t>
  </si>
  <si>
    <t>João</t>
  </si>
  <si>
    <t>Horas/dia</t>
  </si>
  <si>
    <t>Dias úteis sprint</t>
  </si>
  <si>
    <t>Sprint</t>
  </si>
  <si>
    <t>Velocity do time</t>
  </si>
  <si>
    <t xml:space="preserve">Mês </t>
  </si>
  <si>
    <t>Trimestre</t>
  </si>
  <si>
    <t>Descontar  por sprint</t>
  </si>
  <si>
    <t>Retrospectiva por sprint</t>
  </si>
  <si>
    <t>Dailys  - 2 semanas</t>
  </si>
  <si>
    <t>Refinamento Técnico -2 horas por semana</t>
  </si>
  <si>
    <t>Planning</t>
  </si>
  <si>
    <t>Legenda:</t>
  </si>
  <si>
    <t>Resultados em horas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</si>
</sst>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b/>
      <sz val="11"/>
      <color rgb="FFFFFFFF"/>
      <name val="Calibri"/>
      <family val="2"/>
      <charset val="1"/>
    </font>
    <font>
      <sz val="11"/>
      <color theme="1"/>
      <name val="Calibri"/>
      <family val="2"/>
      <charset val="1"/>
    </font>
    <font>
      <b/>
      <sz val="11"/>
      <color theme="1"/>
      <name val="Aptos Narrow"/>
      <family val="2"/>
      <scheme val="minor"/>
    </font>
    <font>
      <b/>
      <sz val="12"/>
      <color theme="1"/>
      <name val="Aptos Narrow"/>
      <family val="2"/>
      <scheme val="minor"/>
    </font>
    <font>
      <b/>
      <sz val="11"/>
      <color rgb="FFFF0000"/>
      <name val="Aptos Narrow"/>
      <family val="2"/>
      <scheme val="minor"/>
    </font>
    <font>
      <sz val="11"/>
      <color theme="1"/>
      <name val="Calibri"/>
      <family val="2"/>
    </font>
    <font>
      <sz val="11"/>
      <name val="Calibri"/>
      <family val="2"/>
    </font>
    <font>
      <sz val="11"/>
      <color rgb="FF000000"/>
      <name val="Calibri"/>
      <family val="2"/>
      <charset val="1"/>
    </font>
  </fonts>
  <fills count="4">
    <fill>
      <patternFill patternType="none"/>
    </fill>
    <fill>
      <patternFill patternType="gray125"/>
    </fill>
    <fill>
      <patternFill patternType="solid">
        <fgColor rgb="FF106EBE"/>
        <bgColor indexed="64"/>
      </patternFill>
    </fill>
    <fill>
      <patternFill patternType="solid">
        <fgColor rgb="FFFFFF0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FFFFFF"/>
      </left>
      <right style="thin">
        <color rgb="FFFFFFFF"/>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6">
    <xf numFmtId="0" fontId="0" fillId="0" borderId="0" xfId="0"/>
    <xf numFmtId="0" fontId="2" fillId="0" borderId="1" xfId="0" applyFont="1" applyBorder="1" applyAlignment="1">
      <alignment vertical="center" wrapText="1"/>
    </xf>
    <xf numFmtId="0" fontId="2" fillId="0" borderId="1" xfId="0" applyFont="1" applyBorder="1" applyAlignment="1">
      <alignment wrapText="1"/>
    </xf>
    <xf numFmtId="0" fontId="2" fillId="0" borderId="3" xfId="0" applyFont="1" applyBorder="1" applyAlignment="1">
      <alignment wrapText="1"/>
    </xf>
    <xf numFmtId="1" fontId="0" fillId="0" borderId="0" xfId="0" applyNumberFormat="1"/>
    <xf numFmtId="0" fontId="3" fillId="0" borderId="0" xfId="0" applyFont="1"/>
    <xf numFmtId="3" fontId="4" fillId="0" borderId="0" xfId="0" applyNumberFormat="1" applyFont="1"/>
    <xf numFmtId="0" fontId="0" fillId="0" borderId="4" xfId="0" applyBorder="1"/>
    <xf numFmtId="0" fontId="0" fillId="0" borderId="5" xfId="0" applyBorder="1"/>
    <xf numFmtId="0" fontId="0" fillId="0" borderId="6" xfId="0" applyBorder="1" applyAlignment="1">
      <alignment wrapText="1"/>
    </xf>
    <xf numFmtId="0" fontId="0" fillId="0" borderId="7" xfId="0" applyBorder="1"/>
    <xf numFmtId="0" fontId="0" fillId="0" borderId="8" xfId="0" applyBorder="1"/>
    <xf numFmtId="0" fontId="5" fillId="0" borderId="9" xfId="0" applyFont="1" applyBorder="1"/>
    <xf numFmtId="0" fontId="1" fillId="2" borderId="2" xfId="0" applyFont="1" applyFill="1" applyBorder="1" applyAlignment="1">
      <alignment horizontal="center" vertical="center" wrapText="1"/>
    </xf>
    <xf numFmtId="0" fontId="2" fillId="0" borderId="3" xfId="0" applyFont="1" applyBorder="1" applyAlignment="1">
      <alignment vertical="center" wrapText="1"/>
    </xf>
    <xf numFmtId="0" fontId="0" fillId="0" borderId="1" xfId="0" applyBorder="1" applyAlignment="1">
      <alignment vertical="center"/>
    </xf>
    <xf numFmtId="0" fontId="1" fillId="2" borderId="10" xfId="0" applyFont="1" applyFill="1" applyBorder="1" applyAlignment="1">
      <alignment horizontal="center" vertical="center" wrapText="1"/>
    </xf>
    <xf numFmtId="0" fontId="2" fillId="0" borderId="0" xfId="0" applyFont="1" applyAlignment="1">
      <alignment wrapText="1"/>
    </xf>
    <xf numFmtId="0" fontId="7" fillId="0" borderId="1" xfId="0" applyFont="1" applyBorder="1" applyAlignment="1">
      <alignment vertical="center" wrapText="1"/>
    </xf>
    <xf numFmtId="0" fontId="2" fillId="3" borderId="3" xfId="0" applyFont="1" applyFill="1" applyBorder="1" applyAlignment="1">
      <alignment vertical="center" wrapText="1"/>
    </xf>
    <xf numFmtId="0" fontId="8" fillId="0" borderId="1" xfId="0" applyFont="1" applyBorder="1" applyAlignment="1">
      <alignment vertical="center" wrapText="1"/>
    </xf>
    <xf numFmtId="0" fontId="6" fillId="0" borderId="1" xfId="0" applyFont="1" applyBorder="1" applyAlignment="1">
      <alignment wrapText="1"/>
    </xf>
    <xf numFmtId="0" fontId="2" fillId="0" borderId="11" xfId="0" applyFont="1" applyBorder="1" applyAlignment="1">
      <alignment vertical="center" wrapText="1"/>
    </xf>
    <xf numFmtId="0" fontId="2" fillId="0" borderId="12" xfId="0" applyFont="1" applyBorder="1" applyAlignment="1">
      <alignment vertical="center" wrapText="1"/>
    </xf>
    <xf numFmtId="0" fontId="0" fillId="0" borderId="3" xfId="0" applyBorder="1" applyAlignment="1">
      <alignment vertical="center"/>
    </xf>
    <xf numFmtId="0" fontId="0" fillId="0" borderId="3" xfId="0" applyBorder="1"/>
    <xf numFmtId="0" fontId="6" fillId="0" borderId="1" xfId="0" applyFont="1" applyBorder="1"/>
    <xf numFmtId="0" fontId="0" fillId="0" borderId="1" xfId="0" applyBorder="1"/>
    <xf numFmtId="0" fontId="0" fillId="0" borderId="1" xfId="0" applyBorder="1" applyAlignment="1">
      <alignment wrapText="1"/>
    </xf>
    <xf numFmtId="0" fontId="0" fillId="0" borderId="1" xfId="0" applyBorder="1" applyAlignment="1">
      <alignment horizontal="left" vertical="center"/>
    </xf>
    <xf numFmtId="0" fontId="2" fillId="0" borderId="0" xfId="0" applyFont="1" applyAlignment="1">
      <alignment vertical="center" wrapText="1"/>
    </xf>
    <xf numFmtId="0" fontId="2" fillId="0" borderId="13" xfId="0" applyFont="1" applyBorder="1" applyAlignment="1">
      <alignment vertical="center" wrapText="1"/>
    </xf>
    <xf numFmtId="0" fontId="0" fillId="0" borderId="11" xfId="0" applyBorder="1" applyAlignment="1">
      <alignment vertical="center"/>
    </xf>
    <xf numFmtId="0" fontId="0" fillId="0" borderId="0" xfId="0" applyAlignment="1">
      <alignment vertical="center"/>
    </xf>
    <xf numFmtId="164" fontId="1" fillId="2" borderId="10" xfId="0" applyNumberFormat="1" applyFont="1" applyFill="1" applyBorder="1" applyAlignment="1">
      <alignment horizontal="center" vertical="center" wrapText="1"/>
    </xf>
    <xf numFmtId="164"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5</xdr:col>
      <xdr:colOff>333375</xdr:colOff>
      <xdr:row>10</xdr:row>
      <xdr:rowOff>95250</xdr:rowOff>
    </xdr:from>
    <xdr:to>
      <xdr:col>7</xdr:col>
      <xdr:colOff>133350</xdr:colOff>
      <xdr:row>12</xdr:row>
      <xdr:rowOff>57150</xdr:rowOff>
    </xdr:to>
    <xdr:sp macro="" textlink="">
      <xdr:nvSpPr>
        <xdr:cNvPr id="2" name="Seta para a esquerda 1">
          <a:extLst>
            <a:ext uri="{FF2B5EF4-FFF2-40B4-BE49-F238E27FC236}">
              <a16:creationId xmlns:a16="http://schemas.microsoft.com/office/drawing/2014/main" id="{C5E806FE-7B8E-0FA5-15E8-6ED19797C2CA}"/>
            </a:ext>
          </a:extLst>
        </xdr:cNvPr>
        <xdr:cNvSpPr/>
      </xdr:nvSpPr>
      <xdr:spPr>
        <a:xfrm>
          <a:off x="4924425" y="2000250"/>
          <a:ext cx="1019175" cy="352425"/>
        </a:xfrm>
        <a:prstGeom prst="leftArrow">
          <a:avLst/>
        </a:prstGeom>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a:p>
      </xdr:txBody>
    </xdr:sp>
    <xdr:clientData/>
  </xdr:twoCellAnchor>
</xdr:wsDr>
</file>

<file path=xl/persons/person.xml><?xml version="1.0" encoding="utf-8"?>
<personList xmlns="http://schemas.microsoft.com/office/spreadsheetml/2018/threadedcomments" xmlns:x="http://schemas.openxmlformats.org/spreadsheetml/2006/main">
  <person displayName="Rafael Amancio Diegues" id="{91DE2057-FAF3-44A7-B512-91FAE0BD3E56}" userId="S::TR069373@comgas.com.br::097fe6cb-a905-47b4-835c-5c8e36db22b1" providerId="AD"/>
  <person displayName="Marcelo Langhinrichs Cunha" id="{469A5450-6BD5-4D95-88E0-A17096FDFA3B}" userId="S::tr062660@comgas.com.br::c26e65b1-ba35-454a-9a05-e190cb09411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 dT="2026-03-18T12:13:24.51" personId="{469A5450-6BD5-4D95-88E0-A17096FDFA3B}" id="{5E7ADAE3-BFAF-4354-AE7C-4DA203F90938}" done="1">
    <text>Eu subiria um pouco de prioridade (talvez 2) os épicos de sistematização porque eles podem ajudar na conformidade e no tempo de gerar as MFs. No frontend alguns filtros básicos já podem ser feitos para garantir menos problemas de ingestão ou dados errados.
De todo modo esses desenvolvimentos tem um pouco menos de competição pelo tipo de recurso que utiliza, e devem ser feitos no futuro mais próximo</text>
  </threadedComment>
  <threadedComment ref="C5" dT="2026-03-18T13:32:15.61" personId="{91DE2057-FAF3-44A7-B512-91FAE0BD3E56}" id="{02F27FFC-0A39-4455-91A5-8B7C6FFA140A}" parentId="{5E7ADAE3-BFAF-4354-AE7C-4DA203F90938}">
    <text>Concordo. Subi aqui a prioridade. Temos que avaliar porque temos uma sequência grande de homologações travadas já, mas acho que vale o push para o time de negócio.</text>
  </threadedComment>
  <threadedComment ref="C13" dT="2026-03-18T12:07:08.34" personId="{469A5450-6BD5-4D95-88E0-A17096FDFA3B}" id="{C17263A4-E425-444C-BF97-70B1448F129A}" done="1">
    <text>Acredito que esse item por estar quente e afetar algumas respostas na visão de prontidão, podem ser mais prioritário no OTM2 que aquela questão de bandas na na função objetivo que ficou com prioridade 1. Eu as inverteria</text>
  </threadedComment>
  <threadedComment ref="C32" dT="2026-03-18T12:11:19.79" personId="{469A5450-6BD5-4D95-88E0-A17096FDFA3B}" id="{4ACDD4B6-EB3F-4684-99D5-3EA6906C96CE}">
    <text>Eu entendi o ponto das features de monitoramente estejam a frente das de produtização que são 100% técnicas, porque elas trazem valor pro time de negócio.
Eu só levaria em conta o risco de demorar a produtização técnica e isso poder ficar muito pra frente e ter problemas de orçamento ano que vem. Mas do ponto de vista de negócios, estou de acordo com a ordem</text>
  </threadedComment>
  <threadedComment ref="C53" dT="2026-03-17T15:01:51.58" personId="{91DE2057-FAF3-44A7-B512-91FAE0BD3E56}" id="{5050488C-96D1-43A8-9998-3148830ABB2C}">
    <text>A princípio, não será realizado, dada sistematização e integração</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65B42-72D4-46A7-8F68-0B3E084D5031}">
  <dimension ref="A1:L53"/>
  <sheetViews>
    <sheetView tabSelected="1" zoomScaleNormal="100" workbookViewId="0">
      <pane ySplit="1" topLeftCell="A2" activePane="bottomLeft" state="frozen"/>
      <selection pane="bottomLeft"/>
    </sheetView>
  </sheetViews>
  <sheetFormatPr defaultRowHeight="15" x14ac:dyDescent="0.25"/>
  <cols>
    <col min="1" max="2" width="34.42578125" customWidth="1"/>
    <col min="3" max="3" width="48.7109375" customWidth="1"/>
    <col min="4" max="4" width="46.5703125" customWidth="1"/>
    <col min="5" max="5" width="21.140625" customWidth="1"/>
    <col min="6" max="6" width="20.140625" customWidth="1"/>
    <col min="7" max="7" width="19" customWidth="1"/>
    <col min="8" max="8" width="22.85546875" customWidth="1"/>
    <col min="9" max="9" width="21.7109375" customWidth="1"/>
    <col min="10" max="10" width="15.140625" customWidth="1"/>
    <col min="11" max="11" width="16.7109375" style="35" customWidth="1"/>
    <col min="12" max="12" width="13.28515625" bestFit="1" customWidth="1"/>
  </cols>
  <sheetData>
    <row r="1" spans="1:12" x14ac:dyDescent="0.25">
      <c r="A1" s="13" t="s">
        <v>0</v>
      </c>
      <c r="B1" s="13" t="s">
        <v>1</v>
      </c>
      <c r="C1" s="13" t="s">
        <v>2</v>
      </c>
      <c r="D1" s="13" t="s">
        <v>3</v>
      </c>
      <c r="E1" s="13" t="s">
        <v>4</v>
      </c>
      <c r="F1" s="13" t="s">
        <v>5</v>
      </c>
      <c r="G1" s="13" t="s">
        <v>6</v>
      </c>
      <c r="H1" s="13" t="s">
        <v>7</v>
      </c>
      <c r="I1" s="16" t="s">
        <v>8</v>
      </c>
      <c r="J1" s="16" t="s">
        <v>9</v>
      </c>
      <c r="K1" s="34" t="s">
        <v>10</v>
      </c>
      <c r="L1" s="16" t="s">
        <v>11</v>
      </c>
    </row>
    <row r="2" spans="1:12" ht="30" x14ac:dyDescent="0.25">
      <c r="A2" s="14" t="s">
        <v>12</v>
      </c>
      <c r="B2" s="1" t="s">
        <v>13</v>
      </c>
      <c r="C2" s="18" t="s">
        <v>14</v>
      </c>
      <c r="D2" s="1" t="s">
        <v>15</v>
      </c>
      <c r="E2" s="2">
        <v>12</v>
      </c>
      <c r="F2" s="3">
        <v>0</v>
      </c>
      <c r="G2" s="3">
        <v>0</v>
      </c>
      <c r="H2" s="3">
        <v>2</v>
      </c>
      <c r="I2" s="17">
        <f t="shared" ref="I2:I33" si="0">SUM(E2:H2)</f>
        <v>14</v>
      </c>
      <c r="J2" s="17">
        <v>1</v>
      </c>
      <c r="K2" s="35">
        <f t="shared" ref="K2:K33" si="1">(6-J2)^1.5/((I2+0.01)^0.5)*100</f>
        <v>298.70049262920656</v>
      </c>
    </row>
    <row r="3" spans="1:12" ht="30.75" customHeight="1" x14ac:dyDescent="0.25">
      <c r="A3" s="14" t="s">
        <v>16</v>
      </c>
      <c r="B3" s="1" t="s">
        <v>17</v>
      </c>
      <c r="C3" s="1" t="s">
        <v>18</v>
      </c>
      <c r="D3" s="1" t="s">
        <v>15</v>
      </c>
      <c r="E3" s="2">
        <v>0</v>
      </c>
      <c r="F3" s="3">
        <v>24</v>
      </c>
      <c r="G3" s="3">
        <v>0</v>
      </c>
      <c r="H3" s="3">
        <v>12</v>
      </c>
      <c r="I3" s="17">
        <f t="shared" si="0"/>
        <v>36</v>
      </c>
      <c r="J3" s="17">
        <v>1</v>
      </c>
      <c r="K3" s="35">
        <f t="shared" si="1"/>
        <v>186.31312309908182</v>
      </c>
    </row>
    <row r="4" spans="1:12" ht="30" x14ac:dyDescent="0.25">
      <c r="A4" s="14" t="s">
        <v>19</v>
      </c>
      <c r="B4" s="1" t="s">
        <v>20</v>
      </c>
      <c r="C4" s="1" t="s">
        <v>21</v>
      </c>
      <c r="D4" s="15" t="s">
        <v>15</v>
      </c>
      <c r="E4" s="2">
        <v>12</v>
      </c>
      <c r="F4" s="3">
        <v>24</v>
      </c>
      <c r="G4" s="3">
        <v>0</v>
      </c>
      <c r="H4" s="3">
        <v>2</v>
      </c>
      <c r="I4" s="17">
        <f t="shared" si="0"/>
        <v>38</v>
      </c>
      <c r="J4" s="17">
        <v>1</v>
      </c>
      <c r="K4" s="35">
        <f t="shared" si="1"/>
        <v>181.34520288620678</v>
      </c>
    </row>
    <row r="5" spans="1:12" ht="30" x14ac:dyDescent="0.25">
      <c r="A5" s="14" t="s">
        <v>12</v>
      </c>
      <c r="B5" s="1" t="s">
        <v>35</v>
      </c>
      <c r="C5" s="1" t="s">
        <v>36</v>
      </c>
      <c r="D5" s="1" t="s">
        <v>15</v>
      </c>
      <c r="E5" s="2">
        <v>6</v>
      </c>
      <c r="F5" s="3">
        <v>0</v>
      </c>
      <c r="G5" s="3">
        <v>12</v>
      </c>
      <c r="H5" s="3">
        <v>2</v>
      </c>
      <c r="I5" s="17">
        <f t="shared" si="0"/>
        <v>20</v>
      </c>
      <c r="J5" s="17">
        <v>2</v>
      </c>
      <c r="K5" s="35">
        <f t="shared" si="1"/>
        <v>178.84073360395831</v>
      </c>
    </row>
    <row r="6" spans="1:12" ht="36.75" customHeight="1" x14ac:dyDescent="0.25">
      <c r="A6" s="14" t="s">
        <v>12</v>
      </c>
      <c r="B6" s="1" t="s">
        <v>35</v>
      </c>
      <c r="C6" s="1" t="s">
        <v>37</v>
      </c>
      <c r="D6" s="1" t="s">
        <v>15</v>
      </c>
      <c r="E6" s="2">
        <v>6</v>
      </c>
      <c r="F6" s="3">
        <v>0</v>
      </c>
      <c r="G6" s="3">
        <v>12</v>
      </c>
      <c r="H6" s="3">
        <v>2</v>
      </c>
      <c r="I6" s="17">
        <f t="shared" si="0"/>
        <v>20</v>
      </c>
      <c r="J6" s="17">
        <v>2</v>
      </c>
      <c r="K6" s="35">
        <f t="shared" si="1"/>
        <v>178.84073360395831</v>
      </c>
    </row>
    <row r="7" spans="1:12" ht="36.75" customHeight="1" x14ac:dyDescent="0.25">
      <c r="A7" s="14" t="s">
        <v>12</v>
      </c>
      <c r="B7" s="1" t="s">
        <v>35</v>
      </c>
      <c r="C7" s="1" t="s">
        <v>38</v>
      </c>
      <c r="D7" s="1" t="s">
        <v>15</v>
      </c>
      <c r="E7" s="2">
        <v>6</v>
      </c>
      <c r="F7" s="3">
        <v>0</v>
      </c>
      <c r="G7" s="3">
        <v>12</v>
      </c>
      <c r="H7" s="3">
        <v>2</v>
      </c>
      <c r="I7" s="17">
        <f t="shared" si="0"/>
        <v>20</v>
      </c>
      <c r="J7" s="17">
        <v>2</v>
      </c>
      <c r="K7" s="35">
        <f t="shared" si="1"/>
        <v>178.84073360395831</v>
      </c>
    </row>
    <row r="8" spans="1:12" ht="36.75" customHeight="1" x14ac:dyDescent="0.25">
      <c r="A8" s="14" t="s">
        <v>12</v>
      </c>
      <c r="B8" s="1" t="s">
        <v>35</v>
      </c>
      <c r="C8" s="1" t="s">
        <v>39</v>
      </c>
      <c r="D8" s="1" t="s">
        <v>15</v>
      </c>
      <c r="E8" s="2">
        <v>6</v>
      </c>
      <c r="F8" s="3">
        <v>0</v>
      </c>
      <c r="G8" s="3">
        <v>12</v>
      </c>
      <c r="H8" s="3">
        <v>2</v>
      </c>
      <c r="I8" s="17">
        <f t="shared" si="0"/>
        <v>20</v>
      </c>
      <c r="J8" s="17">
        <v>2</v>
      </c>
      <c r="K8" s="35">
        <f t="shared" si="1"/>
        <v>178.84073360395831</v>
      </c>
    </row>
    <row r="9" spans="1:12" ht="43.5" customHeight="1" x14ac:dyDescent="0.25">
      <c r="A9" s="14" t="s">
        <v>12</v>
      </c>
      <c r="B9" s="1" t="s">
        <v>13</v>
      </c>
      <c r="C9" s="1" t="s">
        <v>22</v>
      </c>
      <c r="D9" s="1" t="s">
        <v>15</v>
      </c>
      <c r="E9" s="2">
        <v>30</v>
      </c>
      <c r="F9" s="3">
        <v>0</v>
      </c>
      <c r="G9" s="3">
        <v>0</v>
      </c>
      <c r="H9" s="3">
        <v>12</v>
      </c>
      <c r="I9" s="17">
        <f t="shared" si="0"/>
        <v>42</v>
      </c>
      <c r="J9" s="17">
        <v>1</v>
      </c>
      <c r="K9" s="35">
        <f t="shared" si="1"/>
        <v>172.49585583684464</v>
      </c>
    </row>
    <row r="10" spans="1:12" ht="30" x14ac:dyDescent="0.25">
      <c r="A10" s="14" t="s">
        <v>16</v>
      </c>
      <c r="B10" s="1" t="s">
        <v>26</v>
      </c>
      <c r="C10" s="1" t="s">
        <v>27</v>
      </c>
      <c r="D10" s="1" t="s">
        <v>15</v>
      </c>
      <c r="E10" s="2">
        <v>30</v>
      </c>
      <c r="F10" s="3">
        <v>0</v>
      </c>
      <c r="G10" s="3">
        <v>12</v>
      </c>
      <c r="H10" s="3">
        <v>18</v>
      </c>
      <c r="I10" s="17">
        <f t="shared" si="0"/>
        <v>60</v>
      </c>
      <c r="J10" s="17">
        <v>1</v>
      </c>
      <c r="K10" s="35">
        <f t="shared" si="1"/>
        <v>144.32554067010582</v>
      </c>
    </row>
    <row r="11" spans="1:12" ht="31.5" customHeight="1" x14ac:dyDescent="0.25">
      <c r="A11" s="25" t="s">
        <v>28</v>
      </c>
      <c r="B11" s="1" t="s">
        <v>29</v>
      </c>
      <c r="C11" s="29" t="s">
        <v>30</v>
      </c>
      <c r="D11" s="29" t="s">
        <v>31</v>
      </c>
      <c r="E11" s="2">
        <v>6</v>
      </c>
      <c r="F11" s="3">
        <v>24</v>
      </c>
      <c r="G11" s="3">
        <v>0</v>
      </c>
      <c r="H11" s="3">
        <v>2</v>
      </c>
      <c r="I11" s="17">
        <f t="shared" si="0"/>
        <v>32</v>
      </c>
      <c r="J11" s="17">
        <v>2</v>
      </c>
      <c r="K11" s="35">
        <f t="shared" si="1"/>
        <v>141.39926432805382</v>
      </c>
    </row>
    <row r="12" spans="1:12" ht="35.25" customHeight="1" x14ac:dyDescent="0.25">
      <c r="A12" s="24" t="s">
        <v>12</v>
      </c>
      <c r="B12" s="20" t="s">
        <v>32</v>
      </c>
      <c r="C12" s="1" t="s">
        <v>33</v>
      </c>
      <c r="D12" s="15" t="s">
        <v>25</v>
      </c>
      <c r="E12" s="2">
        <v>12</v>
      </c>
      <c r="F12" s="3">
        <f>8*6</f>
        <v>48</v>
      </c>
      <c r="G12" s="3">
        <v>6</v>
      </c>
      <c r="H12" s="3">
        <v>12</v>
      </c>
      <c r="I12" s="17">
        <f t="shared" si="0"/>
        <v>78</v>
      </c>
      <c r="J12" s="17">
        <v>1</v>
      </c>
      <c r="K12" s="35">
        <f t="shared" si="1"/>
        <v>126.58430676687897</v>
      </c>
    </row>
    <row r="13" spans="1:12" ht="30" x14ac:dyDescent="0.25">
      <c r="A13" s="14" t="s">
        <v>16</v>
      </c>
      <c r="B13" s="1" t="s">
        <v>23</v>
      </c>
      <c r="C13" s="1" t="s">
        <v>53</v>
      </c>
      <c r="D13" s="1" t="s">
        <v>15</v>
      </c>
      <c r="E13" s="2">
        <v>0</v>
      </c>
      <c r="F13" s="3">
        <v>42</v>
      </c>
      <c r="G13" s="3">
        <v>0</v>
      </c>
      <c r="H13" s="3">
        <v>2</v>
      </c>
      <c r="I13" s="17">
        <f t="shared" si="0"/>
        <v>44</v>
      </c>
      <c r="J13" s="17">
        <v>2</v>
      </c>
      <c r="K13" s="35">
        <f t="shared" si="1"/>
        <v>120.59083510563586</v>
      </c>
    </row>
    <row r="14" spans="1:12" ht="30" x14ac:dyDescent="0.25">
      <c r="A14" s="14" t="s">
        <v>19</v>
      </c>
      <c r="B14" s="1" t="s">
        <v>20</v>
      </c>
      <c r="C14" s="1" t="s">
        <v>34</v>
      </c>
      <c r="D14" s="1" t="s">
        <v>15</v>
      </c>
      <c r="E14" s="2">
        <v>0</v>
      </c>
      <c r="F14" s="3">
        <v>18</v>
      </c>
      <c r="G14" s="3">
        <v>0</v>
      </c>
      <c r="H14" s="3">
        <v>2</v>
      </c>
      <c r="I14" s="17">
        <f t="shared" si="0"/>
        <v>20</v>
      </c>
      <c r="J14" s="17">
        <v>3</v>
      </c>
      <c r="K14" s="35">
        <f t="shared" si="1"/>
        <v>116.16046389935495</v>
      </c>
    </row>
    <row r="15" spans="1:12" ht="30" x14ac:dyDescent="0.25">
      <c r="A15" s="14" t="s">
        <v>19</v>
      </c>
      <c r="B15" s="1" t="s">
        <v>20</v>
      </c>
      <c r="C15" s="1" t="s">
        <v>40</v>
      </c>
      <c r="D15" s="1" t="s">
        <v>15</v>
      </c>
      <c r="E15" s="2">
        <v>12</v>
      </c>
      <c r="F15" s="3">
        <v>6</v>
      </c>
      <c r="G15" s="3">
        <v>18</v>
      </c>
      <c r="H15" s="3">
        <v>12</v>
      </c>
      <c r="I15" s="17">
        <f t="shared" si="0"/>
        <v>48</v>
      </c>
      <c r="J15" s="17">
        <v>2</v>
      </c>
      <c r="K15" s="35">
        <f t="shared" si="1"/>
        <v>115.45802758638619</v>
      </c>
    </row>
    <row r="16" spans="1:12" x14ac:dyDescent="0.25">
      <c r="A16" s="19" t="s">
        <v>28</v>
      </c>
      <c r="B16" s="1" t="s">
        <v>29</v>
      </c>
      <c r="C16" s="1" t="s">
        <v>41</v>
      </c>
      <c r="D16" s="1" t="s">
        <v>15</v>
      </c>
      <c r="E16" s="2">
        <v>12</v>
      </c>
      <c r="F16" s="3">
        <v>42</v>
      </c>
      <c r="G16" s="3">
        <v>0</v>
      </c>
      <c r="H16" s="3">
        <v>2</v>
      </c>
      <c r="I16" s="17">
        <f t="shared" si="0"/>
        <v>56</v>
      </c>
      <c r="J16" s="17">
        <v>2</v>
      </c>
      <c r="K16" s="35">
        <f t="shared" si="1"/>
        <v>106.89495299877967</v>
      </c>
    </row>
    <row r="17" spans="1:11" ht="30" x14ac:dyDescent="0.25">
      <c r="A17" s="14" t="s">
        <v>28</v>
      </c>
      <c r="B17" s="1" t="s">
        <v>29</v>
      </c>
      <c r="C17" s="1" t="s">
        <v>42</v>
      </c>
      <c r="D17" s="1" t="s">
        <v>15</v>
      </c>
      <c r="E17" s="2">
        <v>12</v>
      </c>
      <c r="F17" s="3">
        <v>42</v>
      </c>
      <c r="G17" s="3">
        <v>0</v>
      </c>
      <c r="H17" s="3">
        <v>2</v>
      </c>
      <c r="I17" s="17">
        <f t="shared" si="0"/>
        <v>56</v>
      </c>
      <c r="J17" s="17">
        <v>2</v>
      </c>
      <c r="K17" s="35">
        <f t="shared" si="1"/>
        <v>106.89495299877967</v>
      </c>
    </row>
    <row r="18" spans="1:11" ht="30" x14ac:dyDescent="0.25">
      <c r="A18" s="24" t="s">
        <v>16</v>
      </c>
      <c r="B18" s="15" t="s">
        <v>23</v>
      </c>
      <c r="C18" s="1" t="s">
        <v>24</v>
      </c>
      <c r="D18" s="15" t="s">
        <v>25</v>
      </c>
      <c r="E18" s="2">
        <v>12</v>
      </c>
      <c r="F18" s="3">
        <v>12</v>
      </c>
      <c r="G18" s="3">
        <v>0</v>
      </c>
      <c r="H18" s="3">
        <v>2</v>
      </c>
      <c r="I18" s="17">
        <f t="shared" si="0"/>
        <v>26</v>
      </c>
      <c r="J18" s="17">
        <v>3</v>
      </c>
      <c r="K18" s="35">
        <f t="shared" si="1"/>
        <v>101.88534162169867</v>
      </c>
    </row>
    <row r="19" spans="1:11" ht="30" x14ac:dyDescent="0.25">
      <c r="A19" s="14" t="s">
        <v>12</v>
      </c>
      <c r="B19" s="1" t="s">
        <v>43</v>
      </c>
      <c r="C19" s="1" t="s">
        <v>44</v>
      </c>
      <c r="D19" s="1" t="s">
        <v>15</v>
      </c>
      <c r="E19" s="2">
        <v>12</v>
      </c>
      <c r="F19" s="3">
        <v>6</v>
      </c>
      <c r="G19" s="3">
        <v>6</v>
      </c>
      <c r="H19" s="3">
        <v>2</v>
      </c>
      <c r="I19" s="17">
        <f t="shared" si="0"/>
        <v>26</v>
      </c>
      <c r="J19" s="17">
        <v>3</v>
      </c>
      <c r="K19" s="35">
        <f t="shared" si="1"/>
        <v>101.88534162169867</v>
      </c>
    </row>
    <row r="20" spans="1:11" ht="30" x14ac:dyDescent="0.25">
      <c r="A20" s="24" t="s">
        <v>16</v>
      </c>
      <c r="B20" s="15" t="s">
        <v>23</v>
      </c>
      <c r="C20" s="23" t="s">
        <v>45</v>
      </c>
      <c r="D20" s="15" t="s">
        <v>25</v>
      </c>
      <c r="E20" s="2">
        <v>6</v>
      </c>
      <c r="F20" s="3">
        <v>18</v>
      </c>
      <c r="G20" s="3">
        <v>0</v>
      </c>
      <c r="H20" s="3">
        <v>2</v>
      </c>
      <c r="I20" s="17">
        <f t="shared" si="0"/>
        <v>26</v>
      </c>
      <c r="J20" s="17">
        <v>3</v>
      </c>
      <c r="K20" s="35">
        <f t="shared" si="1"/>
        <v>101.88534162169867</v>
      </c>
    </row>
    <row r="21" spans="1:11" ht="30" customHeight="1" x14ac:dyDescent="0.25">
      <c r="A21" s="24" t="s">
        <v>16</v>
      </c>
      <c r="B21" s="14" t="s">
        <v>26</v>
      </c>
      <c r="C21" s="1" t="s">
        <v>46</v>
      </c>
      <c r="D21" s="32" t="s">
        <v>25</v>
      </c>
      <c r="E21" s="2">
        <v>0</v>
      </c>
      <c r="F21" s="3">
        <v>12</v>
      </c>
      <c r="G21" s="3">
        <v>18</v>
      </c>
      <c r="H21" s="3">
        <v>2</v>
      </c>
      <c r="I21" s="17">
        <f t="shared" si="0"/>
        <v>32</v>
      </c>
      <c r="J21" s="17">
        <v>3</v>
      </c>
      <c r="K21" s="35">
        <f t="shared" si="1"/>
        <v>91.841516238394064</v>
      </c>
    </row>
    <row r="22" spans="1:11" ht="31.5" customHeight="1" x14ac:dyDescent="0.25">
      <c r="A22" s="14" t="s">
        <v>16</v>
      </c>
      <c r="B22" s="14" t="s">
        <v>26</v>
      </c>
      <c r="C22" s="1" t="s">
        <v>47</v>
      </c>
      <c r="D22" s="22" t="s">
        <v>15</v>
      </c>
      <c r="E22" s="2">
        <v>24</v>
      </c>
      <c r="F22" s="3">
        <f>4*24</f>
        <v>96</v>
      </c>
      <c r="G22" s="3">
        <v>12</v>
      </c>
      <c r="H22" s="3">
        <f>24</f>
        <v>24</v>
      </c>
      <c r="I22" s="17">
        <f t="shared" si="0"/>
        <v>156</v>
      </c>
      <c r="J22">
        <v>1</v>
      </c>
      <c r="K22" s="35">
        <f t="shared" si="1"/>
        <v>89.511490342880691</v>
      </c>
    </row>
    <row r="23" spans="1:11" ht="30" x14ac:dyDescent="0.25">
      <c r="A23" s="24" t="s">
        <v>16</v>
      </c>
      <c r="B23" s="24" t="s">
        <v>23</v>
      </c>
      <c r="C23" s="1" t="s">
        <v>48</v>
      </c>
      <c r="D23" s="32" t="s">
        <v>25</v>
      </c>
      <c r="E23" s="2">
        <v>12</v>
      </c>
      <c r="F23" s="3">
        <v>24</v>
      </c>
      <c r="G23" s="3">
        <v>0</v>
      </c>
      <c r="H23" s="3">
        <v>2</v>
      </c>
      <c r="I23" s="17">
        <f t="shared" si="0"/>
        <v>38</v>
      </c>
      <c r="J23" s="17">
        <v>3</v>
      </c>
      <c r="K23" s="35">
        <f t="shared" si="1"/>
        <v>84.281634083146102</v>
      </c>
    </row>
    <row r="24" spans="1:11" x14ac:dyDescent="0.25">
      <c r="A24" s="14" t="s">
        <v>12</v>
      </c>
      <c r="B24" s="1" t="s">
        <v>43</v>
      </c>
      <c r="C24" s="31" t="s">
        <v>49</v>
      </c>
      <c r="D24" s="1" t="s">
        <v>15</v>
      </c>
      <c r="E24" s="2">
        <v>24</v>
      </c>
      <c r="F24" s="3">
        <v>0</v>
      </c>
      <c r="G24" s="3">
        <v>6</v>
      </c>
      <c r="H24" s="3">
        <v>12</v>
      </c>
      <c r="I24" s="17">
        <f t="shared" si="0"/>
        <v>42</v>
      </c>
      <c r="J24" s="17">
        <v>3</v>
      </c>
      <c r="K24" s="35">
        <f t="shared" si="1"/>
        <v>80.168829233507395</v>
      </c>
    </row>
    <row r="25" spans="1:11" ht="30" x14ac:dyDescent="0.25">
      <c r="A25" s="14" t="s">
        <v>50</v>
      </c>
      <c r="B25" s="1" t="s">
        <v>51</v>
      </c>
      <c r="C25" s="1" t="s">
        <v>52</v>
      </c>
      <c r="D25" s="1" t="s">
        <v>15</v>
      </c>
      <c r="E25" s="2">
        <v>42</v>
      </c>
      <c r="F25" s="3">
        <v>12</v>
      </c>
      <c r="G25" s="3">
        <v>42</v>
      </c>
      <c r="H25" s="3">
        <v>4</v>
      </c>
      <c r="I25" s="17">
        <f t="shared" si="0"/>
        <v>100</v>
      </c>
      <c r="J25" s="17">
        <v>2</v>
      </c>
      <c r="K25" s="35">
        <f t="shared" si="1"/>
        <v>79.996000299974995</v>
      </c>
    </row>
    <row r="26" spans="1:11" ht="30" x14ac:dyDescent="0.25">
      <c r="A26" s="25" t="s">
        <v>19</v>
      </c>
      <c r="B26" s="27" t="s">
        <v>54</v>
      </c>
      <c r="C26" s="1" t="s">
        <v>55</v>
      </c>
      <c r="D26" s="15" t="s">
        <v>15</v>
      </c>
      <c r="E26" s="27">
        <v>12</v>
      </c>
      <c r="F26" s="25">
        <v>24</v>
      </c>
      <c r="G26" s="25">
        <v>0</v>
      </c>
      <c r="H26" s="25">
        <v>12</v>
      </c>
      <c r="I26" s="17">
        <f t="shared" si="0"/>
        <v>48</v>
      </c>
      <c r="J26" s="17">
        <v>3</v>
      </c>
      <c r="K26" s="35">
        <f t="shared" si="1"/>
        <v>74.992188720491242</v>
      </c>
    </row>
    <row r="27" spans="1:11" ht="45" x14ac:dyDescent="0.25">
      <c r="A27" s="14" t="s">
        <v>28</v>
      </c>
      <c r="B27" s="1" t="s">
        <v>29</v>
      </c>
      <c r="C27" s="1" t="s">
        <v>56</v>
      </c>
      <c r="D27" s="15" t="s">
        <v>25</v>
      </c>
      <c r="E27" s="2">
        <v>6</v>
      </c>
      <c r="F27" s="3">
        <v>42</v>
      </c>
      <c r="G27" s="3">
        <v>0</v>
      </c>
      <c r="H27" s="3">
        <v>2</v>
      </c>
      <c r="I27" s="17">
        <f t="shared" si="0"/>
        <v>50</v>
      </c>
      <c r="J27" s="17">
        <v>3</v>
      </c>
      <c r="K27" s="35">
        <f t="shared" si="1"/>
        <v>73.477344916353701</v>
      </c>
    </row>
    <row r="28" spans="1:11" ht="36.75" customHeight="1" x14ac:dyDescent="0.25">
      <c r="A28" s="14" t="s">
        <v>19</v>
      </c>
      <c r="B28" s="1" t="s">
        <v>20</v>
      </c>
      <c r="C28" s="30" t="s">
        <v>57</v>
      </c>
      <c r="D28" s="1" t="s">
        <v>15</v>
      </c>
      <c r="E28" s="2">
        <v>0</v>
      </c>
      <c r="F28" s="3">
        <v>18</v>
      </c>
      <c r="G28" s="3">
        <v>0</v>
      </c>
      <c r="H28" s="3">
        <v>2</v>
      </c>
      <c r="I28" s="17">
        <f t="shared" si="0"/>
        <v>20</v>
      </c>
      <c r="J28" s="17">
        <v>4</v>
      </c>
      <c r="K28" s="35">
        <f t="shared" si="1"/>
        <v>63.229747741867904</v>
      </c>
    </row>
    <row r="29" spans="1:11" ht="30" x14ac:dyDescent="0.25">
      <c r="A29" s="14" t="s">
        <v>12</v>
      </c>
      <c r="B29" s="1" t="s">
        <v>43</v>
      </c>
      <c r="C29" s="1" t="s">
        <v>58</v>
      </c>
      <c r="D29" s="1" t="s">
        <v>15</v>
      </c>
      <c r="E29" s="27">
        <v>12</v>
      </c>
      <c r="F29" s="25">
        <v>6</v>
      </c>
      <c r="G29" s="25">
        <v>6</v>
      </c>
      <c r="H29" s="25">
        <v>2</v>
      </c>
      <c r="I29" s="17">
        <f t="shared" si="0"/>
        <v>26</v>
      </c>
      <c r="J29" s="17">
        <v>4</v>
      </c>
      <c r="K29" s="35">
        <f t="shared" si="1"/>
        <v>55.459355387180189</v>
      </c>
    </row>
    <row r="30" spans="1:11" ht="30" x14ac:dyDescent="0.25">
      <c r="A30" s="24" t="s">
        <v>19</v>
      </c>
      <c r="B30" s="15" t="s">
        <v>59</v>
      </c>
      <c r="C30" s="1" t="s">
        <v>60</v>
      </c>
      <c r="D30" s="15" t="s">
        <v>25</v>
      </c>
      <c r="E30" s="2">
        <v>30</v>
      </c>
      <c r="F30" s="3">
        <v>60</v>
      </c>
      <c r="G30" s="3">
        <v>0</v>
      </c>
      <c r="H30" s="3">
        <v>12</v>
      </c>
      <c r="I30" s="17">
        <f t="shared" si="0"/>
        <v>102</v>
      </c>
      <c r="J30" s="17">
        <v>3</v>
      </c>
      <c r="K30" s="35">
        <f t="shared" si="1"/>
        <v>51.44705369016468</v>
      </c>
    </row>
    <row r="31" spans="1:11" x14ac:dyDescent="0.25">
      <c r="A31" s="14" t="s">
        <v>12</v>
      </c>
      <c r="B31" s="1" t="s">
        <v>43</v>
      </c>
      <c r="C31" s="1" t="s">
        <v>61</v>
      </c>
      <c r="D31" s="1" t="s">
        <v>15</v>
      </c>
      <c r="E31" s="27">
        <v>12</v>
      </c>
      <c r="F31" s="25">
        <v>6</v>
      </c>
      <c r="G31" s="25">
        <v>12</v>
      </c>
      <c r="H31" s="25">
        <v>2</v>
      </c>
      <c r="I31" s="17">
        <f t="shared" si="0"/>
        <v>32</v>
      </c>
      <c r="J31" s="17">
        <v>4</v>
      </c>
      <c r="K31" s="35">
        <f t="shared" si="1"/>
        <v>49.992189330577979</v>
      </c>
    </row>
    <row r="32" spans="1:11" ht="32.25" customHeight="1" x14ac:dyDescent="0.25">
      <c r="A32" s="24" t="s">
        <v>12</v>
      </c>
      <c r="B32" s="15" t="s">
        <v>43</v>
      </c>
      <c r="C32" s="1" t="s">
        <v>62</v>
      </c>
      <c r="D32" s="15" t="s">
        <v>25</v>
      </c>
      <c r="E32" s="2">
        <v>0</v>
      </c>
      <c r="F32" s="3">
        <v>12</v>
      </c>
      <c r="G32" s="3">
        <v>18</v>
      </c>
      <c r="H32" s="3">
        <v>12</v>
      </c>
      <c r="I32" s="17">
        <f t="shared" si="0"/>
        <v>42</v>
      </c>
      <c r="J32" s="17">
        <v>4</v>
      </c>
      <c r="K32" s="35">
        <f t="shared" si="1"/>
        <v>43.638383310758336</v>
      </c>
    </row>
    <row r="33" spans="1:11" ht="33.75" customHeight="1" x14ac:dyDescent="0.25">
      <c r="A33" s="14" t="s">
        <v>12</v>
      </c>
      <c r="B33" s="1" t="s">
        <v>63</v>
      </c>
      <c r="C33" s="1" t="s">
        <v>64</v>
      </c>
      <c r="D33" s="1" t="s">
        <v>15</v>
      </c>
      <c r="E33" s="2">
        <v>0</v>
      </c>
      <c r="F33" s="3">
        <v>12</v>
      </c>
      <c r="G33" s="3">
        <v>18</v>
      </c>
      <c r="H33" s="3">
        <v>12</v>
      </c>
      <c r="I33" s="17">
        <f t="shared" si="0"/>
        <v>42</v>
      </c>
      <c r="J33" s="17">
        <v>4</v>
      </c>
      <c r="K33" s="35">
        <f t="shared" si="1"/>
        <v>43.638383310758336</v>
      </c>
    </row>
    <row r="34" spans="1:11" ht="33" customHeight="1" x14ac:dyDescent="0.25">
      <c r="A34" s="15" t="s">
        <v>16</v>
      </c>
      <c r="B34" s="1" t="s">
        <v>26</v>
      </c>
      <c r="C34" s="1" t="s">
        <v>65</v>
      </c>
      <c r="D34" s="33" t="s">
        <v>25</v>
      </c>
      <c r="E34" s="2">
        <v>0</v>
      </c>
      <c r="F34" s="2">
        <v>24</v>
      </c>
      <c r="G34" s="3">
        <v>12</v>
      </c>
      <c r="H34" s="2">
        <v>12</v>
      </c>
      <c r="I34" s="17">
        <f t="shared" ref="I34:I53" si="2">SUM(E34:H34)</f>
        <v>48</v>
      </c>
      <c r="J34" s="17">
        <v>4</v>
      </c>
      <c r="K34" s="35">
        <f t="shared" ref="K34:K53" si="3">(6-J34)^1.5/((I34+0.01)^0.5)*100</f>
        <v>40.82057712437858</v>
      </c>
    </row>
    <row r="35" spans="1:11" ht="30" x14ac:dyDescent="0.25">
      <c r="A35" s="1" t="s">
        <v>12</v>
      </c>
      <c r="B35" s="1" t="s">
        <v>32</v>
      </c>
      <c r="C35" s="1" t="s">
        <v>66</v>
      </c>
      <c r="D35" s="30" t="s">
        <v>15</v>
      </c>
      <c r="E35" s="2">
        <v>6</v>
      </c>
      <c r="F35" s="2">
        <v>0</v>
      </c>
      <c r="G35" s="3">
        <v>0</v>
      </c>
      <c r="H35" s="2">
        <v>0</v>
      </c>
      <c r="I35" s="17">
        <f t="shared" si="2"/>
        <v>6</v>
      </c>
      <c r="J35" s="17">
        <v>5</v>
      </c>
      <c r="K35" s="35">
        <f t="shared" si="3"/>
        <v>40.790850822400216</v>
      </c>
    </row>
    <row r="36" spans="1:11" ht="19.5" customHeight="1" x14ac:dyDescent="0.25">
      <c r="A36" s="1" t="s">
        <v>12</v>
      </c>
      <c r="B36" s="1" t="s">
        <v>32</v>
      </c>
      <c r="C36" s="1" t="s">
        <v>67</v>
      </c>
      <c r="D36" s="30" t="s">
        <v>15</v>
      </c>
      <c r="E36" s="2">
        <v>6</v>
      </c>
      <c r="F36" s="2">
        <v>0</v>
      </c>
      <c r="G36" s="3">
        <v>0</v>
      </c>
      <c r="H36" s="2">
        <v>0</v>
      </c>
      <c r="I36" s="17">
        <f t="shared" si="2"/>
        <v>6</v>
      </c>
      <c r="J36" s="17">
        <v>5</v>
      </c>
      <c r="K36" s="35">
        <f t="shared" si="3"/>
        <v>40.790850822400216</v>
      </c>
    </row>
    <row r="37" spans="1:11" ht="22.5" customHeight="1" x14ac:dyDescent="0.25">
      <c r="A37" s="1" t="s">
        <v>12</v>
      </c>
      <c r="B37" s="1" t="s">
        <v>32</v>
      </c>
      <c r="C37" s="1" t="s">
        <v>68</v>
      </c>
      <c r="D37" s="30" t="s">
        <v>15</v>
      </c>
      <c r="E37" s="2">
        <v>0</v>
      </c>
      <c r="F37" s="2">
        <v>0</v>
      </c>
      <c r="G37" s="3">
        <v>6</v>
      </c>
      <c r="H37" s="2">
        <v>0</v>
      </c>
      <c r="I37" s="17">
        <f t="shared" si="2"/>
        <v>6</v>
      </c>
      <c r="J37" s="17">
        <v>5</v>
      </c>
      <c r="K37" s="35">
        <f t="shared" si="3"/>
        <v>40.790850822400216</v>
      </c>
    </row>
    <row r="38" spans="1:11" ht="36" customHeight="1" x14ac:dyDescent="0.25">
      <c r="A38" s="1" t="s">
        <v>12</v>
      </c>
      <c r="B38" s="1" t="s">
        <v>32</v>
      </c>
      <c r="C38" s="1" t="s">
        <v>69</v>
      </c>
      <c r="D38" s="30" t="s">
        <v>15</v>
      </c>
      <c r="E38" s="2">
        <v>6</v>
      </c>
      <c r="F38" s="2">
        <v>0</v>
      </c>
      <c r="G38" s="3">
        <v>0</v>
      </c>
      <c r="H38" s="2">
        <v>0</v>
      </c>
      <c r="I38" s="17">
        <f t="shared" si="2"/>
        <v>6</v>
      </c>
      <c r="J38" s="17">
        <v>5</v>
      </c>
      <c r="K38" s="35">
        <f t="shared" si="3"/>
        <v>40.790850822400216</v>
      </c>
    </row>
    <row r="39" spans="1:11" ht="30" x14ac:dyDescent="0.25">
      <c r="A39" s="1" t="s">
        <v>12</v>
      </c>
      <c r="B39" s="1" t="s">
        <v>32</v>
      </c>
      <c r="C39" s="1" t="s">
        <v>70</v>
      </c>
      <c r="D39" s="30" t="s">
        <v>15</v>
      </c>
      <c r="E39" s="2">
        <v>0</v>
      </c>
      <c r="F39" s="2">
        <v>0</v>
      </c>
      <c r="G39" s="3">
        <v>12</v>
      </c>
      <c r="H39" s="2">
        <v>0</v>
      </c>
      <c r="I39" s="17">
        <f t="shared" si="2"/>
        <v>12</v>
      </c>
      <c r="J39" s="17">
        <v>5</v>
      </c>
      <c r="K39" s="35">
        <f t="shared" si="3"/>
        <v>28.85549284123806</v>
      </c>
    </row>
    <row r="40" spans="1:11" ht="30" x14ac:dyDescent="0.25">
      <c r="A40" s="1" t="s">
        <v>12</v>
      </c>
      <c r="B40" s="1" t="s">
        <v>32</v>
      </c>
      <c r="C40" s="21" t="s">
        <v>71</v>
      </c>
      <c r="D40" s="30" t="s">
        <v>15</v>
      </c>
      <c r="E40" s="2">
        <v>12</v>
      </c>
      <c r="F40" s="2">
        <v>0</v>
      </c>
      <c r="G40" s="3">
        <v>0</v>
      </c>
      <c r="H40" s="2">
        <v>0</v>
      </c>
      <c r="I40" s="17">
        <f t="shared" si="2"/>
        <v>12</v>
      </c>
      <c r="J40" s="17">
        <v>5</v>
      </c>
      <c r="K40" s="35">
        <f t="shared" si="3"/>
        <v>28.85549284123806</v>
      </c>
    </row>
    <row r="41" spans="1:11" ht="34.5" customHeight="1" x14ac:dyDescent="0.25">
      <c r="A41" s="1" t="s">
        <v>12</v>
      </c>
      <c r="B41" s="1" t="s">
        <v>32</v>
      </c>
      <c r="C41" s="1" t="s">
        <v>72</v>
      </c>
      <c r="D41" s="30" t="s">
        <v>15</v>
      </c>
      <c r="E41" s="2">
        <v>12</v>
      </c>
      <c r="F41" s="2">
        <v>0</v>
      </c>
      <c r="G41" s="3">
        <v>0</v>
      </c>
      <c r="H41" s="2">
        <v>0</v>
      </c>
      <c r="I41" s="17">
        <f t="shared" si="2"/>
        <v>12</v>
      </c>
      <c r="J41" s="17">
        <v>5</v>
      </c>
      <c r="K41" s="35">
        <f t="shared" si="3"/>
        <v>28.85549284123806</v>
      </c>
    </row>
    <row r="42" spans="1:11" ht="38.25" customHeight="1" x14ac:dyDescent="0.25">
      <c r="A42" s="15" t="s">
        <v>12</v>
      </c>
      <c r="B42" s="20" t="s">
        <v>32</v>
      </c>
      <c r="C42" s="1" t="s">
        <v>73</v>
      </c>
      <c r="D42" s="33" t="s">
        <v>25</v>
      </c>
      <c r="E42" s="2">
        <v>0</v>
      </c>
      <c r="F42" s="2">
        <v>12</v>
      </c>
      <c r="G42" s="3">
        <v>0</v>
      </c>
      <c r="H42" s="2">
        <v>1</v>
      </c>
      <c r="I42" s="17">
        <f t="shared" si="2"/>
        <v>13</v>
      </c>
      <c r="J42" s="17">
        <v>5</v>
      </c>
      <c r="K42" s="35">
        <f t="shared" si="3"/>
        <v>27.724348650071377</v>
      </c>
    </row>
    <row r="43" spans="1:11" ht="30" x14ac:dyDescent="0.25">
      <c r="A43" s="1" t="s">
        <v>12</v>
      </c>
      <c r="B43" s="1" t="s">
        <v>32</v>
      </c>
      <c r="C43" s="1" t="s">
        <v>74</v>
      </c>
      <c r="D43" s="30" t="s">
        <v>15</v>
      </c>
      <c r="E43" s="2">
        <v>6</v>
      </c>
      <c r="F43" s="2">
        <v>6</v>
      </c>
      <c r="G43" s="3">
        <v>0</v>
      </c>
      <c r="H43" s="2">
        <v>2</v>
      </c>
      <c r="I43" s="17">
        <f t="shared" si="2"/>
        <v>14</v>
      </c>
      <c r="J43" s="17">
        <v>5</v>
      </c>
      <c r="K43" s="35">
        <f t="shared" si="3"/>
        <v>26.716584257263243</v>
      </c>
    </row>
    <row r="44" spans="1:11" ht="30" x14ac:dyDescent="0.25">
      <c r="A44" s="1" t="s">
        <v>12</v>
      </c>
      <c r="B44" s="1" t="s">
        <v>32</v>
      </c>
      <c r="C44" s="1" t="s">
        <v>75</v>
      </c>
      <c r="D44" s="30" t="s">
        <v>15</v>
      </c>
      <c r="E44" s="2">
        <v>0</v>
      </c>
      <c r="F44" s="2">
        <v>18</v>
      </c>
      <c r="G44" s="3">
        <v>0</v>
      </c>
      <c r="H44" s="2">
        <v>0</v>
      </c>
      <c r="I44" s="17">
        <f t="shared" si="2"/>
        <v>18</v>
      </c>
      <c r="J44" s="17">
        <v>5</v>
      </c>
      <c r="K44" s="35">
        <f t="shared" si="3"/>
        <v>23.563681481313655</v>
      </c>
    </row>
    <row r="45" spans="1:11" ht="60" customHeight="1" x14ac:dyDescent="0.25">
      <c r="A45" s="15" t="s">
        <v>12</v>
      </c>
      <c r="B45" s="20" t="s">
        <v>32</v>
      </c>
      <c r="C45" s="28" t="s">
        <v>76</v>
      </c>
      <c r="D45" t="s">
        <v>31</v>
      </c>
      <c r="E45" s="27">
        <v>0</v>
      </c>
      <c r="F45" s="27">
        <v>6</v>
      </c>
      <c r="G45" s="25">
        <v>12</v>
      </c>
      <c r="H45" s="27">
        <v>2</v>
      </c>
      <c r="I45" s="17">
        <f t="shared" si="2"/>
        <v>20</v>
      </c>
      <c r="J45" s="17">
        <v>5</v>
      </c>
      <c r="K45" s="35">
        <f t="shared" si="3"/>
        <v>22.355091700494793</v>
      </c>
    </row>
    <row r="46" spans="1:11" ht="60" x14ac:dyDescent="0.25">
      <c r="A46" s="1" t="s">
        <v>12</v>
      </c>
      <c r="B46" s="1" t="s">
        <v>32</v>
      </c>
      <c r="C46" s="21" t="s">
        <v>77</v>
      </c>
      <c r="D46" s="30" t="s">
        <v>15</v>
      </c>
      <c r="E46" s="2">
        <v>12</v>
      </c>
      <c r="F46" s="2">
        <v>0</v>
      </c>
      <c r="G46" s="3">
        <v>12</v>
      </c>
      <c r="H46" s="2">
        <v>0</v>
      </c>
      <c r="I46" s="17">
        <f t="shared" si="2"/>
        <v>24</v>
      </c>
      <c r="J46" s="17">
        <v>5</v>
      </c>
      <c r="K46" s="35">
        <f t="shared" si="3"/>
        <v>20.408163265306118</v>
      </c>
    </row>
    <row r="47" spans="1:11" x14ac:dyDescent="0.25">
      <c r="A47" s="14" t="s">
        <v>12</v>
      </c>
      <c r="B47" s="1" t="s">
        <v>13</v>
      </c>
      <c r="C47" s="26" t="s">
        <v>78</v>
      </c>
      <c r="D47" s="30" t="s">
        <v>15</v>
      </c>
      <c r="E47" s="2">
        <v>24</v>
      </c>
      <c r="F47" s="3">
        <v>0</v>
      </c>
      <c r="G47" s="3">
        <v>0</v>
      </c>
      <c r="H47" s="2">
        <v>2</v>
      </c>
      <c r="I47" s="17">
        <f t="shared" si="2"/>
        <v>26</v>
      </c>
      <c r="J47" s="17">
        <v>5</v>
      </c>
      <c r="K47" s="35">
        <f t="shared" si="3"/>
        <v>19.6078431372549</v>
      </c>
    </row>
    <row r="48" spans="1:11" ht="45" customHeight="1" x14ac:dyDescent="0.25">
      <c r="A48" s="15" t="s">
        <v>12</v>
      </c>
      <c r="B48" s="20" t="s">
        <v>32</v>
      </c>
      <c r="C48" s="1" t="s">
        <v>79</v>
      </c>
      <c r="D48" s="33" t="s">
        <v>25</v>
      </c>
      <c r="E48" s="2">
        <v>6</v>
      </c>
      <c r="F48" s="2">
        <v>12</v>
      </c>
      <c r="G48" s="3">
        <v>0</v>
      </c>
      <c r="H48" s="2">
        <v>12</v>
      </c>
      <c r="I48" s="17">
        <f t="shared" si="2"/>
        <v>30</v>
      </c>
      <c r="J48" s="17">
        <v>5</v>
      </c>
      <c r="K48" s="35">
        <f t="shared" si="3"/>
        <v>18.254376440922808</v>
      </c>
    </row>
    <row r="49" spans="1:11" ht="42" customHeight="1" x14ac:dyDescent="0.25">
      <c r="A49" s="15" t="s">
        <v>12</v>
      </c>
      <c r="B49" s="20" t="s">
        <v>32</v>
      </c>
      <c r="C49" s="1" t="s">
        <v>80</v>
      </c>
      <c r="D49" s="33" t="s">
        <v>25</v>
      </c>
      <c r="E49" s="2">
        <v>30</v>
      </c>
      <c r="F49" s="2">
        <v>0</v>
      </c>
      <c r="G49" s="3">
        <v>0</v>
      </c>
      <c r="H49" s="2">
        <v>2</v>
      </c>
      <c r="I49" s="17">
        <f t="shared" si="2"/>
        <v>32</v>
      </c>
      <c r="J49" s="17">
        <v>5</v>
      </c>
      <c r="K49" s="35">
        <f t="shared" si="3"/>
        <v>17.674908041006731</v>
      </c>
    </row>
    <row r="50" spans="1:11" ht="30" x14ac:dyDescent="0.25">
      <c r="A50" s="1" t="s">
        <v>12</v>
      </c>
      <c r="B50" s="1" t="s">
        <v>32</v>
      </c>
      <c r="C50" s="27" t="s">
        <v>81</v>
      </c>
      <c r="D50" t="s">
        <v>31</v>
      </c>
      <c r="E50" s="27">
        <v>12</v>
      </c>
      <c r="F50" s="27">
        <v>12</v>
      </c>
      <c r="G50" s="25">
        <v>12</v>
      </c>
      <c r="H50" s="27">
        <v>0</v>
      </c>
      <c r="I50" s="17">
        <f t="shared" si="2"/>
        <v>36</v>
      </c>
      <c r="J50" s="17">
        <v>5</v>
      </c>
      <c r="K50" s="35">
        <f t="shared" si="3"/>
        <v>16.664352333993332</v>
      </c>
    </row>
    <row r="51" spans="1:11" ht="30" x14ac:dyDescent="0.25">
      <c r="A51" s="15" t="s">
        <v>12</v>
      </c>
      <c r="B51" s="20" t="s">
        <v>32</v>
      </c>
      <c r="C51" s="1" t="s">
        <v>82</v>
      </c>
      <c r="D51" s="33" t="s">
        <v>25</v>
      </c>
      <c r="E51" s="2">
        <v>12</v>
      </c>
      <c r="F51" s="2">
        <v>24</v>
      </c>
      <c r="G51" s="3">
        <v>6</v>
      </c>
      <c r="H51" s="2">
        <v>2</v>
      </c>
      <c r="I51" s="17">
        <f t="shared" si="2"/>
        <v>44</v>
      </c>
      <c r="J51" s="17">
        <v>5</v>
      </c>
      <c r="K51" s="35">
        <f t="shared" si="3"/>
        <v>15.073854388204486</v>
      </c>
    </row>
    <row r="52" spans="1:11" ht="30" x14ac:dyDescent="0.25">
      <c r="A52" s="1" t="s">
        <v>12</v>
      </c>
      <c r="B52" s="1" t="s">
        <v>32</v>
      </c>
      <c r="C52" s="21" t="s">
        <v>83</v>
      </c>
      <c r="D52" s="30" t="s">
        <v>15</v>
      </c>
      <c r="E52" s="2">
        <v>30</v>
      </c>
      <c r="F52" s="2">
        <v>60</v>
      </c>
      <c r="G52" s="3">
        <v>30</v>
      </c>
      <c r="H52" s="2">
        <v>12</v>
      </c>
      <c r="I52" s="17">
        <f t="shared" si="2"/>
        <v>132</v>
      </c>
      <c r="J52" s="17">
        <v>5</v>
      </c>
      <c r="K52" s="35">
        <f t="shared" si="3"/>
        <v>8.7035531239860209</v>
      </c>
    </row>
    <row r="53" spans="1:11" ht="30" x14ac:dyDescent="0.25">
      <c r="A53" s="1" t="s">
        <v>12</v>
      </c>
      <c r="B53" s="1" t="s">
        <v>32</v>
      </c>
      <c r="C53" s="1" t="s">
        <v>84</v>
      </c>
      <c r="D53" s="30" t="s">
        <v>15</v>
      </c>
      <c r="E53" s="2">
        <v>0</v>
      </c>
      <c r="F53" s="2">
        <v>500</v>
      </c>
      <c r="G53" s="3">
        <v>0</v>
      </c>
      <c r="H53" s="2">
        <v>0</v>
      </c>
      <c r="I53" s="17">
        <f t="shared" si="2"/>
        <v>500</v>
      </c>
      <c r="J53" s="17">
        <v>5</v>
      </c>
      <c r="K53" s="35">
        <f t="shared" si="3"/>
        <v>4.472091234310839</v>
      </c>
    </row>
  </sheetData>
  <autoFilter ref="A1:L53" xr:uid="{5B065B42-72D4-46A7-8F68-0B3E084D5031}"/>
  <pageMargins left="0.7" right="0.7" top="0.75" bottom="0.75" header="0.3" footer="0.3"/>
  <headerFooter>
    <oddHeader>&amp;L&amp;"Aptos"&amp;10&amp;K000000 Interno&amp;1#_x000D_</oddHeader>
    <oddFooter>&amp;R_x000D_&amp;1#&amp;"Aptos"&amp;10&amp;K000000 Interno</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I28"/>
  <sheetViews>
    <sheetView workbookViewId="0">
      <selection activeCell="E14" sqref="E14"/>
    </sheetView>
  </sheetViews>
  <sheetFormatPr defaultRowHeight="15" x14ac:dyDescent="0.25"/>
  <cols>
    <col min="2" max="2" width="22.5703125" customWidth="1"/>
    <col min="3" max="3" width="12.28515625" customWidth="1"/>
    <col min="4" max="4" width="14.7109375" customWidth="1"/>
    <col min="5" max="5" width="10.140625" bestFit="1" customWidth="1"/>
  </cols>
  <sheetData>
    <row r="3" spans="2:9" x14ac:dyDescent="0.25">
      <c r="I3" s="4"/>
    </row>
    <row r="4" spans="2:9" x14ac:dyDescent="0.25">
      <c r="C4" t="s">
        <v>85</v>
      </c>
      <c r="D4" t="s">
        <v>86</v>
      </c>
    </row>
    <row r="5" spans="2:9" x14ac:dyDescent="0.25">
      <c r="C5" t="s">
        <v>87</v>
      </c>
      <c r="D5">
        <v>6</v>
      </c>
    </row>
    <row r="6" spans="2:9" x14ac:dyDescent="0.25">
      <c r="C6" t="s">
        <v>88</v>
      </c>
      <c r="D6">
        <v>6</v>
      </c>
    </row>
    <row r="7" spans="2:9" x14ac:dyDescent="0.25">
      <c r="C7" t="s">
        <v>89</v>
      </c>
      <c r="D7">
        <v>4</v>
      </c>
    </row>
    <row r="8" spans="2:9" x14ac:dyDescent="0.25">
      <c r="C8" t="s">
        <v>90</v>
      </c>
      <c r="D8">
        <v>4</v>
      </c>
    </row>
    <row r="9" spans="2:9" x14ac:dyDescent="0.25">
      <c r="C9" t="s">
        <v>91</v>
      </c>
      <c r="D9">
        <v>2</v>
      </c>
    </row>
    <row r="10" spans="2:9" x14ac:dyDescent="0.25">
      <c r="C10" t="s">
        <v>92</v>
      </c>
      <c r="D10">
        <v>6</v>
      </c>
    </row>
    <row r="11" spans="2:9" x14ac:dyDescent="0.25">
      <c r="C11" t="s">
        <v>93</v>
      </c>
      <c r="D11" s="5">
        <f>SUM(D5:D10)</f>
        <v>28</v>
      </c>
    </row>
    <row r="12" spans="2:9" ht="15.75" x14ac:dyDescent="0.25">
      <c r="B12" t="s">
        <v>94</v>
      </c>
      <c r="C12">
        <v>10</v>
      </c>
      <c r="D12" s="5" t="s">
        <v>95</v>
      </c>
      <c r="E12" s="6">
        <f>(D11*C12-C21)</f>
        <v>268</v>
      </c>
      <c r="I12" t="s">
        <v>96</v>
      </c>
    </row>
    <row r="13" spans="2:9" ht="15.75" x14ac:dyDescent="0.25">
      <c r="D13" s="5" t="s">
        <v>97</v>
      </c>
      <c r="E13" s="6">
        <f>(E12*2)</f>
        <v>536</v>
      </c>
    </row>
    <row r="14" spans="2:9" ht="15.75" x14ac:dyDescent="0.25">
      <c r="D14" s="5" t="s">
        <v>98</v>
      </c>
      <c r="E14" s="6">
        <f>(E13*3)</f>
        <v>1608</v>
      </c>
    </row>
    <row r="16" spans="2:9" x14ac:dyDescent="0.25">
      <c r="B16" s="7" t="s">
        <v>99</v>
      </c>
      <c r="C16" s="8"/>
    </row>
    <row r="17" spans="2:3" x14ac:dyDescent="0.25">
      <c r="B17" s="9" t="s">
        <v>100</v>
      </c>
      <c r="C17" s="10">
        <v>1</v>
      </c>
    </row>
    <row r="18" spans="2:3" x14ac:dyDescent="0.25">
      <c r="B18" s="9" t="s">
        <v>101</v>
      </c>
      <c r="C18" s="10">
        <v>6</v>
      </c>
    </row>
    <row r="19" spans="2:3" ht="30" x14ac:dyDescent="0.25">
      <c r="B19" s="9" t="s">
        <v>102</v>
      </c>
      <c r="C19" s="10">
        <v>4</v>
      </c>
    </row>
    <row r="20" spans="2:3" x14ac:dyDescent="0.25">
      <c r="B20" s="9" t="s">
        <v>103</v>
      </c>
      <c r="C20" s="10">
        <v>1</v>
      </c>
    </row>
    <row r="21" spans="2:3" x14ac:dyDescent="0.25">
      <c r="B21" s="11"/>
      <c r="C21" s="12">
        <f>SUM(C17:C20)</f>
        <v>12</v>
      </c>
    </row>
    <row r="27" spans="2:3" x14ac:dyDescent="0.25">
      <c r="B27" t="s">
        <v>104</v>
      </c>
    </row>
    <row r="28" spans="2:3" x14ac:dyDescent="0.25">
      <c r="B28" t="s">
        <v>105</v>
      </c>
    </row>
  </sheetData>
  <pageMargins left="0.7" right="0.7" top="0.75" bottom="0.75" header="0.3" footer="0.3"/>
  <headerFooter>
    <oddHeader>&amp;L&amp;"Aptos"&amp;10&amp;K000000 Interno&amp;1#_x000D_</oddHeader>
    <oddFooter>&amp;R_x000D_&amp;1#&amp;"Aptos"&amp;10&amp;K000000 Interno</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E2413248AD144EB4F352681303D788" ma:contentTypeVersion="11" ma:contentTypeDescription="Create a new document." ma:contentTypeScope="" ma:versionID="e915d9c603a07a4fc4694295454b5583">
  <xsd:schema xmlns:xsd="http://www.w3.org/2001/XMLSchema" xmlns:xs="http://www.w3.org/2001/XMLSchema" xmlns:p="http://schemas.microsoft.com/office/2006/metadata/properties" xmlns:ns2="898695ca-150f-4d53-a1a4-27c213b72f41" xmlns:ns3="11e3fce6-e222-4248-a00d-b3b33ed830c1" targetNamespace="http://schemas.microsoft.com/office/2006/metadata/properties" ma:root="true" ma:fieldsID="b1e7ba0d6315b4b8ad6fa6ed50b7c17a" ns2:_="" ns3:_="">
    <xsd:import namespace="898695ca-150f-4d53-a1a4-27c213b72f41"/>
    <xsd:import namespace="11e3fce6-e222-4248-a00d-b3b33ed830c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8695ca-150f-4d53-a1a4-27c213b72f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c45801d-319f-4d26-ad81-31594094f95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1e3fce6-e222-4248-a00d-b3b33ed830c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d540988-c6ac-4f61-873d-cd5d62a4b383}" ma:internalName="TaxCatchAll" ma:showField="CatchAllData" ma:web="11e3fce6-e222-4248-a00d-b3b33ed830c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98695ca-150f-4d53-a1a4-27c213b72f41">
      <Terms xmlns="http://schemas.microsoft.com/office/infopath/2007/PartnerControls"/>
    </lcf76f155ced4ddcb4097134ff3c332f>
    <TaxCatchAll xmlns="11e3fce6-e222-4248-a00d-b3b33ed830c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1A5FB6-33BD-4B1F-88D8-436DAE7CA6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8695ca-150f-4d53-a1a4-27c213b72f41"/>
    <ds:schemaRef ds:uri="11e3fce6-e222-4248-a00d-b3b33ed830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EFCDE8-B628-4468-B13F-930C6557CB2F}">
  <ds:schemaRefs>
    <ds:schemaRef ds:uri="http://www.w3.org/XML/1998/namespace"/>
    <ds:schemaRef ds:uri="http://schemas.openxmlformats.org/package/2006/metadata/core-properties"/>
    <ds:schemaRef ds:uri="http://purl.org/dc/elements/1.1/"/>
    <ds:schemaRef ds:uri="http://schemas.microsoft.com/office/2006/documentManagement/types"/>
    <ds:schemaRef ds:uri="http://schemas.microsoft.com/office/2006/metadata/properties"/>
    <ds:schemaRef ds:uri="http://purl.org/dc/dcmitype/"/>
    <ds:schemaRef ds:uri="898695ca-150f-4d53-a1a4-27c213b72f41"/>
    <ds:schemaRef ds:uri="http://schemas.microsoft.com/office/infopath/2007/PartnerControls"/>
    <ds:schemaRef ds:uri="11e3fce6-e222-4248-a00d-b3b33ed830c1"/>
    <ds:schemaRef ds:uri="http://purl.org/dc/terms/"/>
  </ds:schemaRefs>
</ds:datastoreItem>
</file>

<file path=customXml/itemProps3.xml><?xml version="1.0" encoding="utf-8"?>
<ds:datastoreItem xmlns:ds="http://schemas.openxmlformats.org/officeDocument/2006/customXml" ds:itemID="{0855675D-7A7E-4EB6-A046-05A9ACCF1C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Backlog</vt:lpstr>
      <vt:lpstr>Capacity_Velocity(horas)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Diegues</dc:creator>
  <cp:keywords/>
  <dc:description/>
  <cp:lastModifiedBy>Rafael Amancio Diegues</cp:lastModifiedBy>
  <cp:revision/>
  <dcterms:created xsi:type="dcterms:W3CDTF">2026-03-12T19:08:14Z</dcterms:created>
  <dcterms:modified xsi:type="dcterms:W3CDTF">2026-03-18T13:47:11Z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0x01010023E2413248AD144EB4F352681303D788</vt:lpwstr>
  </property>
  <property fmtid="{D5CDD505-2E9C-101B-9397-08002B2CF9AE}" pid="3" name="MSIP_Label_6288130d-5101-4830-99be-3b599ae91491_Enabled">
    <vt:lpwstr>true</vt:lpwstr>
  </property>
  <property fmtid="{D5CDD505-2E9C-101B-9397-08002B2CF9AE}" pid="4" name="MSIP_Label_6288130d-5101-4830-99be-3b599ae91491_SetDate">
    <vt:lpwstr>2026-03-13T15:15:02Z</vt:lpwstr>
  </property>
  <property fmtid="{D5CDD505-2E9C-101B-9397-08002B2CF9AE}" pid="5" name="MSIP_Label_6288130d-5101-4830-99be-3b599ae91491_Method">
    <vt:lpwstr>Privileged</vt:lpwstr>
  </property>
  <property fmtid="{D5CDD505-2E9C-101B-9397-08002B2CF9AE}" pid="6" name="MSIP_Label_6288130d-5101-4830-99be-3b599ae91491_Name">
    <vt:lpwstr>Interno</vt:lpwstr>
  </property>
  <property fmtid="{D5CDD505-2E9C-101B-9397-08002B2CF9AE}" pid="7" name="MSIP_Label_6288130d-5101-4830-99be-3b599ae91491_SiteId">
    <vt:lpwstr>a38e94f2-456e-47b2-b626-d54f18cebc92</vt:lpwstr>
  </property>
  <property fmtid="{D5CDD505-2E9C-101B-9397-08002B2CF9AE}" pid="8" name="MSIP_Label_6288130d-5101-4830-99be-3b599ae91491_ActionId">
    <vt:lpwstr>fb998218-a6fe-4a5d-89f5-75279daf7deb</vt:lpwstr>
  </property>
  <property fmtid="{D5CDD505-2E9C-101B-9397-08002B2CF9AE}" pid="9" name="MSIP_Label_6288130d-5101-4830-99be-3b599ae91491_ContentBits">
    <vt:lpwstr>3</vt:lpwstr>
  </property>
  <property fmtid="{D5CDD505-2E9C-101B-9397-08002B2CF9AE}" pid="10" name="MSIP_Label_6288130d-5101-4830-99be-3b599ae91491_Tag">
    <vt:lpwstr>10, 0, 1, 1</vt:lpwstr>
  </property>
  <property fmtid="{D5CDD505-2E9C-101B-9397-08002B2CF9AE}" pid="11" name="MediaServiceImageTags">
    <vt:lpwstr/>
  </property>
</Properties>
</file>