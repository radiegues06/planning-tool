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nsultor Noorden\Desktop\planning-tool\"/>
    </mc:Choice>
  </mc:AlternateContent>
  <xr:revisionPtr revIDLastSave="0" documentId="13_ncr:1_{576C43C9-0C5E-43D8-AD95-F03CEC6482B6}" xr6:coauthVersionLast="47" xr6:coauthVersionMax="47" xr10:uidLastSave="{00000000-0000-0000-0000-000000000000}"/>
  <bookViews>
    <workbookView xWindow="-120" yWindow="-120" windowWidth="20730" windowHeight="11040" tabRatio="557" activeTab="1" xr2:uid="{00000000-000D-0000-FFFF-FFFF00000000}"/>
  </bookViews>
  <sheets>
    <sheet name="Team" sheetId="1" r:id="rId1"/>
    <sheet name="Backlog" sheetId="2" r:id="rId2"/>
    <sheet name="Vacations" sheetId="3" r:id="rId3"/>
    <sheet name="Spri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3" i="2"/>
  <c r="K4" i="2"/>
  <c r="K5" i="2"/>
  <c r="K6" i="2"/>
  <c r="K2" i="2"/>
  <c r="J8" i="2"/>
  <c r="H8" i="2"/>
</calcChain>
</file>

<file path=xl/sharedStrings.xml><?xml version="1.0" encoding="utf-8"?>
<sst xmlns="http://schemas.openxmlformats.org/spreadsheetml/2006/main" count="279" uniqueCount="171">
  <si>
    <t>person</t>
  </si>
  <si>
    <t>competency</t>
  </si>
  <si>
    <t>hours_per_week</t>
  </si>
  <si>
    <t>allocation_pct</t>
  </si>
  <si>
    <t>capacity_per_sprint</t>
  </si>
  <si>
    <t>Eliel</t>
  </si>
  <si>
    <t>Data Engineering</t>
  </si>
  <si>
    <t>Rafael</t>
  </si>
  <si>
    <t>Felipe</t>
  </si>
  <si>
    <t>Data Science</t>
  </si>
  <si>
    <t>Marcelo</t>
  </si>
  <si>
    <t>João</t>
  </si>
  <si>
    <t>Frontend</t>
  </si>
  <si>
    <t>Camila</t>
  </si>
  <si>
    <t>Business / PO</t>
  </si>
  <si>
    <t>feature_id</t>
  </si>
  <si>
    <t>feature_name</t>
  </si>
  <si>
    <t>priority</t>
  </si>
  <si>
    <t>indicator</t>
  </si>
  <si>
    <t>epic</t>
  </si>
  <si>
    <t>business_value</t>
  </si>
  <si>
    <t>effort_DE</t>
  </si>
  <si>
    <t>effort_DS</t>
  </si>
  <si>
    <t>effort_FE</t>
  </si>
  <si>
    <t>effort_PO</t>
  </si>
  <si>
    <t>total_effort</t>
  </si>
  <si>
    <t>score</t>
  </si>
  <si>
    <t>sprints_required</t>
  </si>
  <si>
    <t>manual_start_sprint</t>
  </si>
  <si>
    <t>F1</t>
  </si>
  <si>
    <t>Conformidade</t>
  </si>
  <si>
    <t>F2</t>
  </si>
  <si>
    <t>Prontidão</t>
  </si>
  <si>
    <t>F3</t>
  </si>
  <si>
    <t>F4</t>
  </si>
  <si>
    <t>Should Cost</t>
  </si>
  <si>
    <t>start_date</t>
  </si>
  <si>
    <t>end_date</t>
  </si>
  <si>
    <t>sprint</t>
  </si>
  <si>
    <t>F5</t>
  </si>
  <si>
    <t>Produtização</t>
  </si>
  <si>
    <t xml:space="preserve">Aderência </t>
  </si>
  <si>
    <t>N/A</t>
  </si>
  <si>
    <t>Visibilidade de indicadores Shoud Cost</t>
  </si>
  <si>
    <t>Automatizar indicadores no output dos planos gerados nas rodadas de otimização</t>
  </si>
  <si>
    <t>Exibição de indicadores executivos</t>
  </si>
  <si>
    <t>Melhorar Modelo Matemático OTM2</t>
  </si>
  <si>
    <t>Alteração no Otimizador 2 considerando os projetos Plano B</t>
  </si>
  <si>
    <t xml:space="preserve">Criar ferramenta visual de comparação entre should cost entre os planos </t>
  </si>
  <si>
    <t>Monitoramento</t>
  </si>
  <si>
    <t>Melhorar relatório de erros da ingestão</t>
  </si>
  <si>
    <t>Visibilidade e Acompanhamento de indicadores relacionados à prodidão</t>
  </si>
  <si>
    <t>Mensurar o impacto da implementação da prorrogação</t>
  </si>
  <si>
    <t>Criar 4 relatórios com dados para suportar decisões de prontidão</t>
  </si>
  <si>
    <t>Migração para ambiente de produção</t>
  </si>
  <si>
    <t>Remover débito técnico de mapeamento de capacidade dos municípios que está direto no código</t>
  </si>
  <si>
    <t xml:space="preserve">Visibilidade de idicadoes de Aderência </t>
  </si>
  <si>
    <t>Disponibilizar para o time de negócio um dashboard de Aderencia</t>
  </si>
  <si>
    <t xml:space="preserve">Gestão de Processo </t>
  </si>
  <si>
    <t>Olhar o longo prazo avaliando otimizador 2</t>
  </si>
  <si>
    <t>Melhorar Modelo Matemático OTM1</t>
  </si>
  <si>
    <t>Considerar trabalho aos Fins de semana</t>
  </si>
  <si>
    <t>Avaliar incorporação de dados de autorização para trabalhos noturnos e aos fins de semana</t>
  </si>
  <si>
    <t>Visualizações adicionais no produto</t>
  </si>
  <si>
    <t>Criar uma gestão visual do acompanhamento da MF</t>
  </si>
  <si>
    <t>Executar a Pipeline de consistências antes da otmização</t>
  </si>
  <si>
    <t>Arquivos no Sharepoint</t>
  </si>
  <si>
    <t>ADF - Repositório de engenharia de dados</t>
  </si>
  <si>
    <t>Repositório do front-end</t>
  </si>
  <si>
    <t>Migrar servidores que executam a aplicação do front-end (serviços do back e do front)</t>
  </si>
  <si>
    <t>Migrar banco de dados do front-end</t>
  </si>
  <si>
    <t>Integração entre ambientes
i. Disparo automático (Servidor-ADF)
ii. Comunicação entre sistemas para tráfego de dados (Servidor-Databricks)</t>
  </si>
  <si>
    <t>Documentações</t>
  </si>
  <si>
    <t>Processo de CI/CD</t>
  </si>
  <si>
    <t>Tabelas no Databricks</t>
  </si>
  <si>
    <t>Jobs e workflows no Databricks</t>
  </si>
  <si>
    <t>Repositório de ciência de dados (Tatubo)</t>
  </si>
  <si>
    <t>Estruturação do ambiente de Produção (Ambientes, bancos de dados)</t>
  </si>
  <si>
    <t>Integração</t>
  </si>
  <si>
    <t>Integração Service Now</t>
  </si>
  <si>
    <t>Integração com SAP/Datalake (Para extrair automaticamente ZPS80)</t>
  </si>
  <si>
    <t>Realizar a Integração automatica com o LECOM</t>
  </si>
  <si>
    <t>Sistematização</t>
  </si>
  <si>
    <t>Sistematização dos dados de RDO(Relatório diarios de obras)</t>
  </si>
  <si>
    <t>Sistematização das informações de assentamentos</t>
  </si>
  <si>
    <t>Sistematização das informações de arquetipos</t>
  </si>
  <si>
    <t>Sistematização das informações de construcão</t>
  </si>
  <si>
    <t>[OTM2] Feature mais de uma regra de inicio de projeto por municipio</t>
  </si>
  <si>
    <t>[Melhoria][Média] Criar função objetivo por região</t>
  </si>
  <si>
    <t>Incluir financeiros dos projetos e sinalizar estornos de CAPEX, indicando necessidade de reaprovação</t>
  </si>
  <si>
    <t>[Melhoria][Baixo] Implementar restrições regionais de capacidade</t>
  </si>
  <si>
    <t>Expansão de escopo</t>
  </si>
  <si>
    <t>[Melhoria][Baixo +] Adicionar escopo de vala aberta / loteamento</t>
  </si>
  <si>
    <t>Analisar os 600 projetos alocados na MF de Outubro</t>
  </si>
  <si>
    <t>[GATE 2] Calcular prontidão por contratada e região (Novo Filtro)</t>
  </si>
  <si>
    <t>[Melhoria][Média] Criar uma lista de exceções para o Otimizador 2</t>
  </si>
  <si>
    <t>[Melhoria][Media] Identificar automaticamente gargalos por semana, região ou fase</t>
  </si>
  <si>
    <t>[Melhoria][Médio] Validar expectativas não cumpridas entre execuções automaticamente</t>
  </si>
  <si>
    <t>[Melhoria][Medio] Adicionar chance de atraso baseada em histórico e trazer para função objetivo</t>
  </si>
  <si>
    <t>[Melhoria][Baixa] Adicionar custo de mudança em relação a execuções anteriores</t>
  </si>
  <si>
    <t>[Melhoria][Baixo] Permitir rodar o Otimizador 2 com alvo fixo de kms de prontidão por período, sem depender do Otimizador 1</t>
  </si>
  <si>
    <t>[Melhoria][Baixa] Flexibilizar datas de construção sugeridas pelo Otimizador 1 com penalização (restrições soft)</t>
  </si>
  <si>
    <t>[Melhoria][Baixo] Introduzir bandas de custo na função objetivo</t>
  </si>
  <si>
    <t>[Melhoria][Baixa] Modelar durações mínimas e máximas flexíveis por fase, com penalização por esticar/encurtar</t>
  </si>
  <si>
    <t>[Melhoria][Baixo] Quebrar a decisão final em fases intermediárias (permitir decisão por fase)</t>
  </si>
  <si>
    <t>[Melhoria][Medio] Gerar relatório pós-leitura automaticamente</t>
  </si>
  <si>
    <t>[Melhoria][Baixo] Permitir rodar subconjuntos dos dados via filtro manual para ingestão</t>
  </si>
  <si>
    <t>Criar ambiente para armazenar e tagear dados dos cenários simulados (inputs e outputs)</t>
  </si>
  <si>
    <t>Mapear os impactos da descontinuidade da GP (Ex: cadastros, plano vigente)</t>
  </si>
  <si>
    <t>Painel de acompanhamento dos indicadores técnicos de performance do modelo (Gap, runtime)</t>
  </si>
  <si>
    <t>Elaborar relatório de erros da otimização</t>
  </si>
  <si>
    <t>Criar Flag para priorização de pex criticos</t>
  </si>
  <si>
    <t>Flags na interface gráfica para consideração das excessões (individualmente) para facilitar não atualizar os inputs</t>
  </si>
  <si>
    <t>Débito técnico de desenvolvimentos hardcoded</t>
  </si>
  <si>
    <t>Simulador de Should Cost</t>
  </si>
  <si>
    <t>Funcionalidade para simulações de cenários de Should Cost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</si>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</sst>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G10" sqref="G10"/>
    </sheetView>
  </sheetViews>
  <sheetFormatPr defaultRowHeight="15" x14ac:dyDescent="0.25"/>
  <cols>
    <col min="1" max="1" width="8.140625" bestFit="1" customWidth="1"/>
    <col min="2" max="2" width="16.140625" bestFit="1" customWidth="1"/>
    <col min="3" max="3" width="16" bestFit="1" customWidth="1"/>
    <col min="4" max="4" width="13.5703125" bestFit="1" customWidth="1"/>
    <col min="5" max="5" width="18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40</v>
      </c>
      <c r="D2">
        <v>100</v>
      </c>
      <c r="E2">
        <v>80</v>
      </c>
    </row>
    <row r="3" spans="1:5" x14ac:dyDescent="0.25">
      <c r="A3" t="s">
        <v>7</v>
      </c>
      <c r="B3" t="s">
        <v>6</v>
      </c>
      <c r="C3">
        <v>40</v>
      </c>
      <c r="D3">
        <v>50</v>
      </c>
      <c r="E3">
        <v>40</v>
      </c>
    </row>
    <row r="4" spans="1:5" x14ac:dyDescent="0.25">
      <c r="A4" t="s">
        <v>8</v>
      </c>
      <c r="B4" t="s">
        <v>9</v>
      </c>
      <c r="C4">
        <v>40</v>
      </c>
      <c r="D4">
        <v>100</v>
      </c>
      <c r="E4">
        <v>80</v>
      </c>
    </row>
    <row r="5" spans="1:5" x14ac:dyDescent="0.25">
      <c r="A5" t="s">
        <v>10</v>
      </c>
      <c r="B5" t="s">
        <v>9</v>
      </c>
      <c r="C5">
        <v>40</v>
      </c>
      <c r="D5">
        <v>50</v>
      </c>
      <c r="E5">
        <v>40</v>
      </c>
    </row>
    <row r="6" spans="1:5" x14ac:dyDescent="0.25">
      <c r="A6" t="s">
        <v>11</v>
      </c>
      <c r="B6" t="s">
        <v>12</v>
      </c>
      <c r="C6">
        <v>40</v>
      </c>
      <c r="D6">
        <v>50</v>
      </c>
      <c r="E6">
        <v>40</v>
      </c>
    </row>
    <row r="7" spans="1:5" x14ac:dyDescent="0.25">
      <c r="A7" t="s">
        <v>13</v>
      </c>
      <c r="B7" t="s">
        <v>14</v>
      </c>
      <c r="C7">
        <v>20</v>
      </c>
      <c r="D7">
        <v>100</v>
      </c>
      <c r="E7">
        <v>40</v>
      </c>
    </row>
  </sheetData>
  <pageMargins left="0.75" right="0.75" top="1" bottom="1" header="0.5" footer="0.5"/>
  <headerFooter>
    <oddHeader>&amp;L&amp;"Aptos"&amp;10&amp;K000000 Interno&amp;1#_x000D_</oddHeader>
    <oddFooter>&amp;R_x000D_&amp;1#&amp;"Aptos"&amp;10&amp;K000000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tabSelected="1" workbookViewId="0">
      <selection activeCell="E3" sqref="E3"/>
    </sheetView>
  </sheetViews>
  <sheetFormatPr defaultRowHeight="15" x14ac:dyDescent="0.25"/>
  <cols>
    <col min="1" max="1" width="10.28515625" bestFit="1" customWidth="1"/>
    <col min="2" max="2" width="7.5703125" bestFit="1" customWidth="1"/>
    <col min="3" max="3" width="13.85546875" bestFit="1" customWidth="1"/>
    <col min="4" max="4" width="7.140625" bestFit="1" customWidth="1"/>
    <col min="5" max="5" width="19.140625" bestFit="1" customWidth="1"/>
    <col min="6" max="6" width="14.7109375" customWidth="1"/>
    <col min="7" max="8" width="9.42578125" bestFit="1" customWidth="1"/>
    <col min="10" max="10" width="9.7109375" bestFit="1" customWidth="1"/>
    <col min="11" max="11" width="11.28515625" bestFit="1" customWidth="1"/>
    <col min="12" max="12" width="12" bestFit="1" customWidth="1"/>
    <col min="13" max="13" width="15.85546875" bestFit="1" customWidth="1"/>
    <col min="14" max="14" width="19" bestFit="1" customWidth="1"/>
  </cols>
  <sheetData>
    <row r="1" spans="1:14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16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x14ac:dyDescent="0.25">
      <c r="A2" t="s">
        <v>29</v>
      </c>
      <c r="B2">
        <v>1</v>
      </c>
      <c r="C2" s="3" t="s">
        <v>35</v>
      </c>
      <c r="D2" t="s">
        <v>43</v>
      </c>
      <c r="E2" t="s">
        <v>44</v>
      </c>
      <c r="F2">
        <v>100</v>
      </c>
      <c r="G2" s="6">
        <v>0</v>
      </c>
      <c r="H2" s="7">
        <v>42</v>
      </c>
      <c r="I2" s="7">
        <v>0</v>
      </c>
      <c r="J2" s="7">
        <v>2</v>
      </c>
      <c r="K2">
        <f>SUM(G2:J2)</f>
        <v>44</v>
      </c>
      <c r="N2">
        <v>1</v>
      </c>
    </row>
    <row r="3" spans="1:14" x14ac:dyDescent="0.25">
      <c r="A3" t="s">
        <v>31</v>
      </c>
      <c r="B3">
        <v>1</v>
      </c>
      <c r="C3" s="3" t="s">
        <v>35</v>
      </c>
      <c r="D3" t="s">
        <v>43</v>
      </c>
      <c r="E3" t="s">
        <v>45</v>
      </c>
      <c r="F3">
        <v>200</v>
      </c>
      <c r="G3" s="6">
        <v>0</v>
      </c>
      <c r="H3" s="7">
        <v>42</v>
      </c>
      <c r="I3" s="7">
        <v>0</v>
      </c>
      <c r="J3" s="7">
        <v>2</v>
      </c>
      <c r="K3">
        <f t="shared" ref="K3:K61" si="0">SUM(G3:J3)</f>
        <v>44</v>
      </c>
    </row>
    <row r="4" spans="1:14" x14ac:dyDescent="0.25">
      <c r="A4" t="s">
        <v>33</v>
      </c>
      <c r="B4">
        <v>1</v>
      </c>
      <c r="C4" s="3" t="s">
        <v>32</v>
      </c>
      <c r="D4" t="s">
        <v>46</v>
      </c>
      <c r="E4" t="s">
        <v>47</v>
      </c>
      <c r="F4">
        <v>150</v>
      </c>
      <c r="G4" s="6">
        <v>0</v>
      </c>
      <c r="H4" s="7">
        <v>42</v>
      </c>
      <c r="I4" s="7">
        <v>0</v>
      </c>
      <c r="J4" s="7">
        <v>2</v>
      </c>
      <c r="K4">
        <f t="shared" si="0"/>
        <v>44</v>
      </c>
    </row>
    <row r="5" spans="1:14" x14ac:dyDescent="0.25">
      <c r="A5" t="s">
        <v>34</v>
      </c>
      <c r="B5">
        <v>1</v>
      </c>
      <c r="C5" s="3" t="s">
        <v>35</v>
      </c>
      <c r="D5" t="s">
        <v>43</v>
      </c>
      <c r="E5" t="s">
        <v>48</v>
      </c>
      <c r="F5">
        <v>80</v>
      </c>
      <c r="G5" s="6">
        <v>0</v>
      </c>
      <c r="H5" s="7">
        <v>42</v>
      </c>
      <c r="I5" s="7">
        <v>0</v>
      </c>
      <c r="J5" s="7">
        <v>2</v>
      </c>
      <c r="K5">
        <f t="shared" si="0"/>
        <v>44</v>
      </c>
    </row>
    <row r="6" spans="1:14" x14ac:dyDescent="0.25">
      <c r="A6" t="s">
        <v>39</v>
      </c>
      <c r="B6">
        <v>1</v>
      </c>
      <c r="C6" s="3" t="s">
        <v>40</v>
      </c>
      <c r="D6" t="s">
        <v>49</v>
      </c>
      <c r="E6" t="s">
        <v>50</v>
      </c>
      <c r="F6">
        <v>100</v>
      </c>
      <c r="G6" s="6">
        <v>0</v>
      </c>
      <c r="H6" s="7">
        <v>42</v>
      </c>
      <c r="I6" s="7">
        <v>0</v>
      </c>
      <c r="J6" s="7">
        <v>2</v>
      </c>
      <c r="K6">
        <f t="shared" si="0"/>
        <v>44</v>
      </c>
    </row>
    <row r="7" spans="1:14" x14ac:dyDescent="0.25">
      <c r="A7" t="s">
        <v>116</v>
      </c>
      <c r="B7">
        <v>1</v>
      </c>
      <c r="C7" s="3" t="s">
        <v>32</v>
      </c>
      <c r="D7" t="s">
        <v>51</v>
      </c>
      <c r="E7" t="s">
        <v>52</v>
      </c>
      <c r="F7">
        <v>100</v>
      </c>
      <c r="G7" s="6">
        <v>30</v>
      </c>
      <c r="H7" s="7">
        <v>0</v>
      </c>
      <c r="I7" s="7">
        <v>12</v>
      </c>
      <c r="J7" s="7">
        <v>18</v>
      </c>
      <c r="K7">
        <f t="shared" si="0"/>
        <v>60</v>
      </c>
    </row>
    <row r="8" spans="1:14" x14ac:dyDescent="0.25">
      <c r="A8" t="s">
        <v>117</v>
      </c>
      <c r="B8">
        <v>1</v>
      </c>
      <c r="C8" s="3" t="s">
        <v>32</v>
      </c>
      <c r="D8" t="s">
        <v>51</v>
      </c>
      <c r="E8" t="s">
        <v>53</v>
      </c>
      <c r="F8">
        <v>200</v>
      </c>
      <c r="G8" s="6">
        <v>24</v>
      </c>
      <c r="H8" s="7">
        <f>4*24</f>
        <v>96</v>
      </c>
      <c r="I8" s="7">
        <v>12</v>
      </c>
      <c r="J8" s="7">
        <f>24</f>
        <v>24</v>
      </c>
      <c r="K8">
        <f t="shared" si="0"/>
        <v>156</v>
      </c>
    </row>
    <row r="9" spans="1:14" x14ac:dyDescent="0.25">
      <c r="A9" t="s">
        <v>118</v>
      </c>
      <c r="B9">
        <v>1</v>
      </c>
      <c r="C9" s="3" t="s">
        <v>40</v>
      </c>
      <c r="D9" t="s">
        <v>54</v>
      </c>
      <c r="E9" t="s">
        <v>55</v>
      </c>
      <c r="F9">
        <v>150</v>
      </c>
      <c r="G9" s="6">
        <v>0</v>
      </c>
      <c r="H9" s="7">
        <v>42</v>
      </c>
      <c r="I9" s="7">
        <v>0</v>
      </c>
      <c r="J9" s="7">
        <v>2</v>
      </c>
      <c r="K9">
        <f t="shared" si="0"/>
        <v>44</v>
      </c>
    </row>
    <row r="10" spans="1:14" x14ac:dyDescent="0.25">
      <c r="A10" t="s">
        <v>119</v>
      </c>
      <c r="B10">
        <v>1</v>
      </c>
      <c r="C10" s="3" t="s">
        <v>41</v>
      </c>
      <c r="D10" t="s">
        <v>56</v>
      </c>
      <c r="E10" t="s">
        <v>57</v>
      </c>
      <c r="F10">
        <v>80</v>
      </c>
      <c r="G10" s="6">
        <v>42</v>
      </c>
      <c r="H10" s="7">
        <v>12</v>
      </c>
      <c r="I10" s="7">
        <v>42</v>
      </c>
      <c r="J10" s="7">
        <v>4</v>
      </c>
      <c r="K10">
        <f t="shared" si="0"/>
        <v>100</v>
      </c>
    </row>
    <row r="11" spans="1:14" x14ac:dyDescent="0.25">
      <c r="A11" t="s">
        <v>120</v>
      </c>
      <c r="B11">
        <v>1</v>
      </c>
      <c r="C11" s="3" t="s">
        <v>32</v>
      </c>
      <c r="D11" t="s">
        <v>58</v>
      </c>
      <c r="E11" t="s">
        <v>59</v>
      </c>
      <c r="F11">
        <v>100</v>
      </c>
      <c r="G11" s="6">
        <v>0</v>
      </c>
      <c r="H11" s="7">
        <v>42</v>
      </c>
      <c r="I11" s="7">
        <v>0</v>
      </c>
      <c r="J11" s="7">
        <v>2</v>
      </c>
      <c r="K11">
        <f t="shared" si="0"/>
        <v>44</v>
      </c>
    </row>
    <row r="12" spans="1:14" x14ac:dyDescent="0.25">
      <c r="A12" t="s">
        <v>121</v>
      </c>
      <c r="B12">
        <v>1</v>
      </c>
      <c r="C12" s="4" t="s">
        <v>30</v>
      </c>
      <c r="D12" t="s">
        <v>60</v>
      </c>
      <c r="E12" t="s">
        <v>61</v>
      </c>
      <c r="F12">
        <v>100</v>
      </c>
      <c r="G12" s="6">
        <v>12</v>
      </c>
      <c r="H12" s="7">
        <v>42</v>
      </c>
      <c r="I12" s="7">
        <v>0</v>
      </c>
      <c r="J12" s="7">
        <v>2</v>
      </c>
      <c r="K12">
        <f t="shared" si="0"/>
        <v>56</v>
      </c>
    </row>
    <row r="13" spans="1:14" x14ac:dyDescent="0.25">
      <c r="A13" t="s">
        <v>122</v>
      </c>
      <c r="B13">
        <v>1</v>
      </c>
      <c r="C13" s="3" t="s">
        <v>30</v>
      </c>
      <c r="D13" t="s">
        <v>60</v>
      </c>
      <c r="E13" t="s">
        <v>62</v>
      </c>
      <c r="F13">
        <v>200</v>
      </c>
      <c r="G13" s="6">
        <v>12</v>
      </c>
      <c r="H13" s="7">
        <v>42</v>
      </c>
      <c r="I13" s="7">
        <v>0</v>
      </c>
      <c r="J13" s="7">
        <v>2</v>
      </c>
      <c r="K13">
        <f t="shared" si="0"/>
        <v>56</v>
      </c>
    </row>
    <row r="14" spans="1:14" x14ac:dyDescent="0.25">
      <c r="A14" t="s">
        <v>123</v>
      </c>
      <c r="B14">
        <v>1</v>
      </c>
      <c r="C14" s="3" t="s">
        <v>40</v>
      </c>
      <c r="D14" t="s">
        <v>63</v>
      </c>
      <c r="E14" t="s">
        <v>64</v>
      </c>
      <c r="F14">
        <v>150</v>
      </c>
      <c r="G14" s="6">
        <v>0</v>
      </c>
      <c r="H14" s="7">
        <v>42</v>
      </c>
      <c r="I14" s="7">
        <v>0</v>
      </c>
      <c r="J14" s="7">
        <v>2</v>
      </c>
      <c r="K14">
        <f t="shared" si="0"/>
        <v>44</v>
      </c>
    </row>
    <row r="15" spans="1:14" x14ac:dyDescent="0.25">
      <c r="A15" t="s">
        <v>124</v>
      </c>
      <c r="B15">
        <v>1</v>
      </c>
      <c r="C15" s="3" t="s">
        <v>40</v>
      </c>
      <c r="D15" t="s">
        <v>49</v>
      </c>
      <c r="E15" t="s">
        <v>65</v>
      </c>
      <c r="F15">
        <v>80</v>
      </c>
      <c r="G15" s="6">
        <v>0</v>
      </c>
      <c r="H15" s="7">
        <v>42</v>
      </c>
      <c r="I15" s="7">
        <v>0</v>
      </c>
      <c r="J15" s="7">
        <v>2</v>
      </c>
      <c r="K15">
        <f t="shared" si="0"/>
        <v>44</v>
      </c>
    </row>
    <row r="16" spans="1:14" x14ac:dyDescent="0.25">
      <c r="A16" t="s">
        <v>125</v>
      </c>
      <c r="B16">
        <v>1</v>
      </c>
      <c r="C16" s="3" t="s">
        <v>40</v>
      </c>
      <c r="D16" t="s">
        <v>54</v>
      </c>
      <c r="E16" t="s">
        <v>66</v>
      </c>
      <c r="F16">
        <v>100</v>
      </c>
      <c r="G16" s="6">
        <v>0</v>
      </c>
      <c r="H16" s="7">
        <v>42</v>
      </c>
      <c r="I16" s="7">
        <v>0</v>
      </c>
      <c r="J16" s="7">
        <v>2</v>
      </c>
      <c r="K16">
        <f t="shared" si="0"/>
        <v>44</v>
      </c>
    </row>
    <row r="17" spans="1:11" x14ac:dyDescent="0.25">
      <c r="A17" t="s">
        <v>126</v>
      </c>
      <c r="B17">
        <v>1</v>
      </c>
      <c r="C17" s="3" t="s">
        <v>40</v>
      </c>
      <c r="D17" t="s">
        <v>54</v>
      </c>
      <c r="E17" t="s">
        <v>67</v>
      </c>
      <c r="F17">
        <v>100</v>
      </c>
      <c r="G17" s="6">
        <v>0</v>
      </c>
      <c r="H17" s="7">
        <v>42</v>
      </c>
      <c r="I17" s="7">
        <v>0</v>
      </c>
      <c r="J17" s="7">
        <v>2</v>
      </c>
      <c r="K17">
        <f t="shared" si="0"/>
        <v>44</v>
      </c>
    </row>
    <row r="18" spans="1:11" x14ac:dyDescent="0.25">
      <c r="A18" t="s">
        <v>127</v>
      </c>
      <c r="B18">
        <v>1</v>
      </c>
      <c r="C18" s="3" t="s">
        <v>40</v>
      </c>
      <c r="D18" t="s">
        <v>54</v>
      </c>
      <c r="E18" t="s">
        <v>68</v>
      </c>
      <c r="F18">
        <v>200</v>
      </c>
      <c r="G18" s="6">
        <v>0</v>
      </c>
      <c r="H18" s="7">
        <v>42</v>
      </c>
      <c r="I18" s="7">
        <v>0</v>
      </c>
      <c r="J18" s="7">
        <v>2</v>
      </c>
      <c r="K18">
        <f t="shared" si="0"/>
        <v>44</v>
      </c>
    </row>
    <row r="19" spans="1:11" x14ac:dyDescent="0.25">
      <c r="A19" t="s">
        <v>128</v>
      </c>
      <c r="B19">
        <v>1</v>
      </c>
      <c r="C19" s="3" t="s">
        <v>40</v>
      </c>
      <c r="D19" t="s">
        <v>54</v>
      </c>
      <c r="E19" t="s">
        <v>69</v>
      </c>
      <c r="F19">
        <v>150</v>
      </c>
      <c r="G19" s="6">
        <v>0</v>
      </c>
      <c r="H19" s="7">
        <v>42</v>
      </c>
      <c r="I19" s="7">
        <v>0</v>
      </c>
      <c r="J19" s="7">
        <v>2</v>
      </c>
      <c r="K19">
        <f t="shared" si="0"/>
        <v>44</v>
      </c>
    </row>
    <row r="20" spans="1:11" x14ac:dyDescent="0.25">
      <c r="A20" t="s">
        <v>129</v>
      </c>
      <c r="B20">
        <v>1</v>
      </c>
      <c r="C20" s="3" t="s">
        <v>40</v>
      </c>
      <c r="D20" t="s">
        <v>54</v>
      </c>
      <c r="E20" t="s">
        <v>70</v>
      </c>
      <c r="F20">
        <v>80</v>
      </c>
      <c r="G20" s="6">
        <v>0</v>
      </c>
      <c r="H20" s="7">
        <v>42</v>
      </c>
      <c r="I20" s="7">
        <v>0</v>
      </c>
      <c r="J20" s="7">
        <v>2</v>
      </c>
      <c r="K20">
        <f t="shared" si="0"/>
        <v>44</v>
      </c>
    </row>
    <row r="21" spans="1:11" x14ac:dyDescent="0.25">
      <c r="A21" t="s">
        <v>130</v>
      </c>
      <c r="B21">
        <v>1</v>
      </c>
      <c r="C21" s="3" t="s">
        <v>40</v>
      </c>
      <c r="D21" t="s">
        <v>54</v>
      </c>
      <c r="E21" t="s">
        <v>71</v>
      </c>
      <c r="F21">
        <v>100</v>
      </c>
      <c r="G21" s="6">
        <v>0</v>
      </c>
      <c r="H21" s="7">
        <v>42</v>
      </c>
      <c r="I21" s="7">
        <v>0</v>
      </c>
      <c r="J21" s="7">
        <v>2</v>
      </c>
      <c r="K21">
        <f t="shared" si="0"/>
        <v>44</v>
      </c>
    </row>
    <row r="22" spans="1:11" x14ac:dyDescent="0.25">
      <c r="A22" t="s">
        <v>131</v>
      </c>
      <c r="B22">
        <v>1</v>
      </c>
      <c r="C22" s="3" t="s">
        <v>40</v>
      </c>
      <c r="D22" t="s">
        <v>54</v>
      </c>
      <c r="E22" t="s">
        <v>72</v>
      </c>
      <c r="F22">
        <v>100</v>
      </c>
      <c r="G22" s="6">
        <v>0</v>
      </c>
      <c r="H22" s="7">
        <v>42</v>
      </c>
      <c r="I22" s="7">
        <v>0</v>
      </c>
      <c r="J22" s="7">
        <v>2</v>
      </c>
      <c r="K22">
        <f t="shared" si="0"/>
        <v>44</v>
      </c>
    </row>
    <row r="23" spans="1:11" x14ac:dyDescent="0.25">
      <c r="A23" t="s">
        <v>132</v>
      </c>
      <c r="B23">
        <v>1</v>
      </c>
      <c r="C23" s="3" t="s">
        <v>40</v>
      </c>
      <c r="D23" t="s">
        <v>54</v>
      </c>
      <c r="E23" t="s">
        <v>73</v>
      </c>
      <c r="F23">
        <v>200</v>
      </c>
      <c r="G23" s="6">
        <v>0</v>
      </c>
      <c r="H23" s="7">
        <v>42</v>
      </c>
      <c r="I23" s="7">
        <v>0</v>
      </c>
      <c r="J23" s="7">
        <v>2</v>
      </c>
      <c r="K23">
        <f t="shared" si="0"/>
        <v>44</v>
      </c>
    </row>
    <row r="24" spans="1:11" x14ac:dyDescent="0.25">
      <c r="A24" t="s">
        <v>133</v>
      </c>
      <c r="B24">
        <v>1</v>
      </c>
      <c r="C24" s="3" t="s">
        <v>40</v>
      </c>
      <c r="D24" t="s">
        <v>54</v>
      </c>
      <c r="E24" t="s">
        <v>74</v>
      </c>
      <c r="F24">
        <v>150</v>
      </c>
      <c r="G24" s="6">
        <v>0</v>
      </c>
      <c r="H24" s="7">
        <v>42</v>
      </c>
      <c r="I24" s="7">
        <v>0</v>
      </c>
      <c r="J24" s="7">
        <v>2</v>
      </c>
      <c r="K24">
        <f t="shared" si="0"/>
        <v>44</v>
      </c>
    </row>
    <row r="25" spans="1:11" x14ac:dyDescent="0.25">
      <c r="A25" t="s">
        <v>134</v>
      </c>
      <c r="B25">
        <v>1</v>
      </c>
      <c r="C25" s="3" t="s">
        <v>40</v>
      </c>
      <c r="D25" t="s">
        <v>54</v>
      </c>
      <c r="E25" t="s">
        <v>75</v>
      </c>
      <c r="F25">
        <v>80</v>
      </c>
      <c r="G25" s="6">
        <v>0</v>
      </c>
      <c r="H25" s="7">
        <v>42</v>
      </c>
      <c r="I25" s="7">
        <v>0</v>
      </c>
      <c r="J25" s="7">
        <v>2</v>
      </c>
      <c r="K25">
        <f t="shared" si="0"/>
        <v>44</v>
      </c>
    </row>
    <row r="26" spans="1:11" x14ac:dyDescent="0.25">
      <c r="A26" t="s">
        <v>135</v>
      </c>
      <c r="B26">
        <v>1</v>
      </c>
      <c r="C26" s="3" t="s">
        <v>40</v>
      </c>
      <c r="D26" t="s">
        <v>54</v>
      </c>
      <c r="E26" t="s">
        <v>76</v>
      </c>
      <c r="F26">
        <v>100</v>
      </c>
      <c r="G26" s="6">
        <v>0</v>
      </c>
      <c r="H26" s="7">
        <v>42</v>
      </c>
      <c r="I26" s="7">
        <v>0</v>
      </c>
      <c r="J26" s="7">
        <v>2</v>
      </c>
      <c r="K26">
        <f t="shared" si="0"/>
        <v>44</v>
      </c>
    </row>
    <row r="27" spans="1:11" x14ac:dyDescent="0.25">
      <c r="A27" t="s">
        <v>136</v>
      </c>
      <c r="B27">
        <v>1</v>
      </c>
      <c r="C27" s="3" t="s">
        <v>40</v>
      </c>
      <c r="D27" t="s">
        <v>54</v>
      </c>
      <c r="E27" t="s">
        <v>77</v>
      </c>
      <c r="F27">
        <v>100</v>
      </c>
      <c r="G27" s="6">
        <v>0</v>
      </c>
      <c r="H27" s="7">
        <v>42</v>
      </c>
      <c r="I27" s="7">
        <v>0</v>
      </c>
      <c r="J27" s="7">
        <v>2</v>
      </c>
      <c r="K27">
        <f t="shared" si="0"/>
        <v>44</v>
      </c>
    </row>
    <row r="28" spans="1:11" x14ac:dyDescent="0.25">
      <c r="A28" t="s">
        <v>137</v>
      </c>
      <c r="B28">
        <v>1</v>
      </c>
      <c r="C28" s="3" t="s">
        <v>40</v>
      </c>
      <c r="D28" t="s">
        <v>78</v>
      </c>
      <c r="E28" t="s">
        <v>79</v>
      </c>
      <c r="F28">
        <v>200</v>
      </c>
      <c r="G28" s="6">
        <v>0</v>
      </c>
      <c r="H28" s="7">
        <v>42</v>
      </c>
      <c r="I28" s="7">
        <v>0</v>
      </c>
      <c r="J28" s="7">
        <v>2</v>
      </c>
      <c r="K28">
        <f t="shared" si="0"/>
        <v>44</v>
      </c>
    </row>
    <row r="29" spans="1:11" x14ac:dyDescent="0.25">
      <c r="A29" t="s">
        <v>138</v>
      </c>
      <c r="B29">
        <v>1</v>
      </c>
      <c r="C29" s="3" t="s">
        <v>40</v>
      </c>
      <c r="D29" t="s">
        <v>78</v>
      </c>
      <c r="E29" t="s">
        <v>80</v>
      </c>
      <c r="F29">
        <v>150</v>
      </c>
      <c r="G29" s="6">
        <v>0</v>
      </c>
      <c r="H29" s="7">
        <v>42</v>
      </c>
      <c r="I29" s="7">
        <v>0</v>
      </c>
      <c r="J29" s="7">
        <v>2</v>
      </c>
      <c r="K29">
        <f t="shared" si="0"/>
        <v>44</v>
      </c>
    </row>
    <row r="30" spans="1:11" x14ac:dyDescent="0.25">
      <c r="A30" t="s">
        <v>139</v>
      </c>
      <c r="B30">
        <v>1</v>
      </c>
      <c r="C30" s="3" t="s">
        <v>40</v>
      </c>
      <c r="D30" t="s">
        <v>78</v>
      </c>
      <c r="E30" t="s">
        <v>81</v>
      </c>
      <c r="F30">
        <v>80</v>
      </c>
      <c r="G30" s="6">
        <v>0</v>
      </c>
      <c r="H30" s="7">
        <v>42</v>
      </c>
      <c r="I30" s="7">
        <v>0</v>
      </c>
      <c r="J30" s="7">
        <v>2</v>
      </c>
      <c r="K30">
        <f t="shared" si="0"/>
        <v>44</v>
      </c>
    </row>
    <row r="31" spans="1:11" x14ac:dyDescent="0.25">
      <c r="A31" t="s">
        <v>140</v>
      </c>
      <c r="B31">
        <v>1</v>
      </c>
      <c r="C31" s="3" t="s">
        <v>40</v>
      </c>
      <c r="D31" t="s">
        <v>82</v>
      </c>
      <c r="E31" t="s">
        <v>83</v>
      </c>
      <c r="F31">
        <v>100</v>
      </c>
      <c r="G31" s="6">
        <v>0</v>
      </c>
      <c r="H31" s="7">
        <v>42</v>
      </c>
      <c r="I31" s="7">
        <v>0</v>
      </c>
      <c r="J31" s="7">
        <v>2</v>
      </c>
      <c r="K31">
        <f t="shared" si="0"/>
        <v>44</v>
      </c>
    </row>
    <row r="32" spans="1:11" x14ac:dyDescent="0.25">
      <c r="A32" t="s">
        <v>141</v>
      </c>
      <c r="B32">
        <v>1</v>
      </c>
      <c r="C32" s="3" t="s">
        <v>40</v>
      </c>
      <c r="D32" t="s">
        <v>82</v>
      </c>
      <c r="E32" t="s">
        <v>84</v>
      </c>
      <c r="F32">
        <v>100</v>
      </c>
      <c r="G32" s="6">
        <v>0</v>
      </c>
      <c r="H32" s="7">
        <v>42</v>
      </c>
      <c r="I32" s="7">
        <v>0</v>
      </c>
      <c r="J32" s="7">
        <v>2</v>
      </c>
      <c r="K32">
        <f t="shared" si="0"/>
        <v>44</v>
      </c>
    </row>
    <row r="33" spans="1:11" x14ac:dyDescent="0.25">
      <c r="A33" t="s">
        <v>142</v>
      </c>
      <c r="B33">
        <v>1</v>
      </c>
      <c r="C33" s="3" t="s">
        <v>40</v>
      </c>
      <c r="D33" t="s">
        <v>82</v>
      </c>
      <c r="E33" t="s">
        <v>85</v>
      </c>
      <c r="F33">
        <v>200</v>
      </c>
      <c r="G33" s="6">
        <v>0</v>
      </c>
      <c r="H33" s="7">
        <v>42</v>
      </c>
      <c r="I33" s="7">
        <v>0</v>
      </c>
      <c r="J33" s="7">
        <v>2</v>
      </c>
      <c r="K33">
        <f t="shared" si="0"/>
        <v>44</v>
      </c>
    </row>
    <row r="34" spans="1:11" x14ac:dyDescent="0.25">
      <c r="A34" t="s">
        <v>143</v>
      </c>
      <c r="B34">
        <v>1</v>
      </c>
      <c r="C34" s="3" t="s">
        <v>40</v>
      </c>
      <c r="D34" t="s">
        <v>82</v>
      </c>
      <c r="E34" t="s">
        <v>86</v>
      </c>
      <c r="F34">
        <v>150</v>
      </c>
      <c r="G34" s="6">
        <v>0</v>
      </c>
      <c r="H34" s="7">
        <v>42</v>
      </c>
      <c r="I34" s="7">
        <v>0</v>
      </c>
      <c r="J34" s="7">
        <v>2</v>
      </c>
      <c r="K34">
        <f t="shared" si="0"/>
        <v>44</v>
      </c>
    </row>
    <row r="35" spans="1:11" x14ac:dyDescent="0.25">
      <c r="A35" t="s">
        <v>144</v>
      </c>
      <c r="B35">
        <v>1</v>
      </c>
      <c r="C35" s="5" t="s">
        <v>32</v>
      </c>
      <c r="D35" t="s">
        <v>46</v>
      </c>
      <c r="E35" t="s">
        <v>87</v>
      </c>
      <c r="F35">
        <v>80</v>
      </c>
      <c r="G35" s="6">
        <v>0</v>
      </c>
      <c r="H35" s="7">
        <v>42</v>
      </c>
      <c r="I35" s="7">
        <v>0</v>
      </c>
      <c r="J35" s="7">
        <v>2</v>
      </c>
      <c r="K35">
        <f t="shared" si="0"/>
        <v>44</v>
      </c>
    </row>
    <row r="36" spans="1:11" x14ac:dyDescent="0.25">
      <c r="A36" t="s">
        <v>145</v>
      </c>
      <c r="B36">
        <v>1</v>
      </c>
      <c r="C36" s="5" t="s">
        <v>42</v>
      </c>
      <c r="D36" t="s">
        <v>42</v>
      </c>
      <c r="E36" t="s">
        <v>88</v>
      </c>
      <c r="F36">
        <v>100</v>
      </c>
      <c r="G36" s="6">
        <v>0</v>
      </c>
      <c r="H36" s="7">
        <v>42</v>
      </c>
      <c r="I36" s="7">
        <v>0</v>
      </c>
      <c r="J36" s="7">
        <v>2</v>
      </c>
      <c r="K36">
        <f t="shared" si="0"/>
        <v>44</v>
      </c>
    </row>
    <row r="37" spans="1:11" x14ac:dyDescent="0.25">
      <c r="A37" t="s">
        <v>146</v>
      </c>
      <c r="B37">
        <v>1</v>
      </c>
      <c r="C37" s="5" t="s">
        <v>42</v>
      </c>
      <c r="D37" t="s">
        <v>42</v>
      </c>
      <c r="E37" t="s">
        <v>89</v>
      </c>
      <c r="F37">
        <v>100</v>
      </c>
      <c r="G37" s="6">
        <v>0</v>
      </c>
      <c r="H37" s="7">
        <v>42</v>
      </c>
      <c r="I37" s="7">
        <v>0</v>
      </c>
      <c r="J37" s="7">
        <v>2</v>
      </c>
      <c r="K37">
        <f t="shared" si="0"/>
        <v>44</v>
      </c>
    </row>
    <row r="38" spans="1:11" x14ac:dyDescent="0.25">
      <c r="A38" t="s">
        <v>147</v>
      </c>
      <c r="B38">
        <v>1</v>
      </c>
      <c r="C38" s="5" t="s">
        <v>42</v>
      </c>
      <c r="D38" t="s">
        <v>42</v>
      </c>
      <c r="E38" t="s">
        <v>90</v>
      </c>
      <c r="F38">
        <v>200</v>
      </c>
      <c r="G38" s="6">
        <v>0</v>
      </c>
      <c r="H38" s="7">
        <v>42</v>
      </c>
      <c r="I38" s="7">
        <v>0</v>
      </c>
      <c r="J38" s="7">
        <v>2</v>
      </c>
      <c r="K38">
        <f t="shared" si="0"/>
        <v>44</v>
      </c>
    </row>
    <row r="39" spans="1:11" x14ac:dyDescent="0.25">
      <c r="A39" t="s">
        <v>148</v>
      </c>
      <c r="B39">
        <v>1</v>
      </c>
      <c r="C39" s="5" t="s">
        <v>35</v>
      </c>
      <c r="D39" t="s">
        <v>91</v>
      </c>
      <c r="E39" t="s">
        <v>92</v>
      </c>
      <c r="F39">
        <v>150</v>
      </c>
      <c r="G39" s="6">
        <v>0</v>
      </c>
      <c r="H39" s="7">
        <v>42</v>
      </c>
      <c r="I39" s="7">
        <v>0</v>
      </c>
      <c r="J39" s="7">
        <v>2</v>
      </c>
      <c r="K39">
        <f t="shared" si="0"/>
        <v>44</v>
      </c>
    </row>
    <row r="40" spans="1:11" x14ac:dyDescent="0.25">
      <c r="A40" t="s">
        <v>149</v>
      </c>
      <c r="B40">
        <v>1</v>
      </c>
      <c r="C40" s="5" t="s">
        <v>40</v>
      </c>
      <c r="D40" t="s">
        <v>54</v>
      </c>
      <c r="E40" t="s">
        <v>93</v>
      </c>
      <c r="F40">
        <v>80</v>
      </c>
      <c r="G40" s="6">
        <v>0</v>
      </c>
      <c r="H40" s="7">
        <v>42</v>
      </c>
      <c r="I40" s="7">
        <v>0</v>
      </c>
      <c r="J40" s="7">
        <v>2</v>
      </c>
      <c r="K40">
        <f t="shared" si="0"/>
        <v>44</v>
      </c>
    </row>
    <row r="41" spans="1:11" x14ac:dyDescent="0.25">
      <c r="A41" t="s">
        <v>150</v>
      </c>
      <c r="B41">
        <v>1</v>
      </c>
      <c r="C41" s="5" t="s">
        <v>32</v>
      </c>
      <c r="D41" t="s">
        <v>51</v>
      </c>
      <c r="E41" t="s">
        <v>94</v>
      </c>
      <c r="F41">
        <v>100</v>
      </c>
      <c r="G41" s="6">
        <v>0</v>
      </c>
      <c r="H41" s="7">
        <v>42</v>
      </c>
      <c r="I41" s="7">
        <v>0</v>
      </c>
      <c r="J41" s="7">
        <v>2</v>
      </c>
      <c r="K41">
        <f t="shared" si="0"/>
        <v>44</v>
      </c>
    </row>
    <row r="42" spans="1:11" x14ac:dyDescent="0.25">
      <c r="A42" t="s">
        <v>151</v>
      </c>
      <c r="B42">
        <v>1</v>
      </c>
      <c r="C42" s="5" t="s">
        <v>32</v>
      </c>
      <c r="D42" t="s">
        <v>46</v>
      </c>
      <c r="E42" t="s">
        <v>95</v>
      </c>
      <c r="F42">
        <v>100</v>
      </c>
      <c r="G42" s="6">
        <v>0</v>
      </c>
      <c r="H42" s="7">
        <v>42</v>
      </c>
      <c r="I42" s="7">
        <v>0</v>
      </c>
      <c r="J42" s="7">
        <v>2</v>
      </c>
      <c r="K42">
        <f t="shared" si="0"/>
        <v>44</v>
      </c>
    </row>
    <row r="43" spans="1:11" x14ac:dyDescent="0.25">
      <c r="A43" t="s">
        <v>152</v>
      </c>
      <c r="B43">
        <v>1</v>
      </c>
      <c r="C43" s="5" t="s">
        <v>32</v>
      </c>
      <c r="D43" t="s">
        <v>51</v>
      </c>
      <c r="E43" t="s">
        <v>96</v>
      </c>
      <c r="F43">
        <v>200</v>
      </c>
      <c r="G43" s="6">
        <v>0</v>
      </c>
      <c r="H43" s="7">
        <v>42</v>
      </c>
      <c r="I43" s="7">
        <v>0</v>
      </c>
      <c r="J43" s="7">
        <v>2</v>
      </c>
      <c r="K43">
        <f t="shared" si="0"/>
        <v>44</v>
      </c>
    </row>
    <row r="44" spans="1:11" x14ac:dyDescent="0.25">
      <c r="A44" t="s">
        <v>153</v>
      </c>
      <c r="B44">
        <v>1</v>
      </c>
      <c r="C44" s="5" t="s">
        <v>40</v>
      </c>
      <c r="D44" t="s">
        <v>49</v>
      </c>
      <c r="E44" t="s">
        <v>97</v>
      </c>
      <c r="F44">
        <v>150</v>
      </c>
      <c r="G44" s="6">
        <v>0</v>
      </c>
      <c r="H44" s="7">
        <v>42</v>
      </c>
      <c r="I44" s="7">
        <v>0</v>
      </c>
      <c r="J44" s="7">
        <v>2</v>
      </c>
      <c r="K44">
        <f t="shared" si="0"/>
        <v>44</v>
      </c>
    </row>
    <row r="45" spans="1:11" x14ac:dyDescent="0.25">
      <c r="A45" t="s">
        <v>154</v>
      </c>
      <c r="B45">
        <v>1</v>
      </c>
      <c r="C45" s="5" t="s">
        <v>42</v>
      </c>
      <c r="D45" t="s">
        <v>42</v>
      </c>
      <c r="E45" t="s">
        <v>98</v>
      </c>
      <c r="F45">
        <v>80</v>
      </c>
      <c r="G45" s="6">
        <v>0</v>
      </c>
      <c r="H45" s="7">
        <v>42</v>
      </c>
      <c r="I45" s="7">
        <v>0</v>
      </c>
      <c r="J45" s="7">
        <v>2</v>
      </c>
      <c r="K45">
        <f t="shared" si="0"/>
        <v>44</v>
      </c>
    </row>
    <row r="46" spans="1:11" x14ac:dyDescent="0.25">
      <c r="A46" t="s">
        <v>155</v>
      </c>
      <c r="B46">
        <v>1</v>
      </c>
      <c r="C46" s="5" t="s">
        <v>42</v>
      </c>
      <c r="D46" t="s">
        <v>42</v>
      </c>
      <c r="E46" t="s">
        <v>99</v>
      </c>
      <c r="F46">
        <v>100</v>
      </c>
      <c r="G46" s="6">
        <v>0</v>
      </c>
      <c r="H46" s="7">
        <v>42</v>
      </c>
      <c r="I46" s="7">
        <v>0</v>
      </c>
      <c r="J46" s="7">
        <v>2</v>
      </c>
      <c r="K46">
        <f t="shared" si="0"/>
        <v>44</v>
      </c>
    </row>
    <row r="47" spans="1:11" x14ac:dyDescent="0.25">
      <c r="A47" t="s">
        <v>156</v>
      </c>
      <c r="B47">
        <v>1</v>
      </c>
      <c r="C47" s="5" t="s">
        <v>40</v>
      </c>
      <c r="D47" t="s">
        <v>54</v>
      </c>
      <c r="E47" t="s">
        <v>100</v>
      </c>
      <c r="F47">
        <v>100</v>
      </c>
      <c r="G47" s="6">
        <v>0</v>
      </c>
      <c r="H47" s="7">
        <v>42</v>
      </c>
      <c r="I47" s="7">
        <v>0</v>
      </c>
      <c r="J47" s="7">
        <v>2</v>
      </c>
      <c r="K47">
        <f t="shared" si="0"/>
        <v>44</v>
      </c>
    </row>
    <row r="48" spans="1:11" x14ac:dyDescent="0.25">
      <c r="A48" t="s">
        <v>157</v>
      </c>
      <c r="B48">
        <v>1</v>
      </c>
      <c r="C48" s="3" t="s">
        <v>30</v>
      </c>
      <c r="D48" t="s">
        <v>60</v>
      </c>
      <c r="E48" t="s">
        <v>101</v>
      </c>
      <c r="F48">
        <v>200</v>
      </c>
      <c r="G48" s="6">
        <v>6</v>
      </c>
      <c r="H48" s="7">
        <v>42</v>
      </c>
      <c r="I48" s="7">
        <v>0</v>
      </c>
      <c r="J48" s="6">
        <v>2</v>
      </c>
      <c r="K48">
        <f t="shared" si="0"/>
        <v>50</v>
      </c>
    </row>
    <row r="49" spans="1:11" x14ac:dyDescent="0.25">
      <c r="A49" t="s">
        <v>158</v>
      </c>
      <c r="B49">
        <v>1</v>
      </c>
      <c r="C49" s="5" t="s">
        <v>32</v>
      </c>
      <c r="D49" t="s">
        <v>46</v>
      </c>
      <c r="E49" t="s">
        <v>102</v>
      </c>
      <c r="F49">
        <v>150</v>
      </c>
      <c r="G49" s="6">
        <v>0</v>
      </c>
      <c r="H49" s="7">
        <v>42</v>
      </c>
      <c r="I49" s="7">
        <v>0</v>
      </c>
      <c r="J49" s="7">
        <v>2</v>
      </c>
      <c r="K49">
        <f t="shared" si="0"/>
        <v>44</v>
      </c>
    </row>
    <row r="50" spans="1:11" x14ac:dyDescent="0.25">
      <c r="A50" t="s">
        <v>159</v>
      </c>
      <c r="B50">
        <v>1</v>
      </c>
      <c r="C50" s="5" t="s">
        <v>42</v>
      </c>
      <c r="D50" t="s">
        <v>42</v>
      </c>
      <c r="E50" t="s">
        <v>103</v>
      </c>
      <c r="F50">
        <v>80</v>
      </c>
      <c r="G50" s="6">
        <v>0</v>
      </c>
      <c r="H50" s="7">
        <v>42</v>
      </c>
      <c r="I50" s="7">
        <v>0</v>
      </c>
      <c r="J50" s="7">
        <v>2</v>
      </c>
      <c r="K50">
        <f t="shared" si="0"/>
        <v>44</v>
      </c>
    </row>
    <row r="51" spans="1:11" x14ac:dyDescent="0.25">
      <c r="A51" t="s">
        <v>160</v>
      </c>
      <c r="B51">
        <v>1</v>
      </c>
      <c r="C51" s="5" t="s">
        <v>42</v>
      </c>
      <c r="D51" t="s">
        <v>42</v>
      </c>
      <c r="E51" t="s">
        <v>104</v>
      </c>
      <c r="F51">
        <v>100</v>
      </c>
      <c r="G51" s="6">
        <v>0</v>
      </c>
      <c r="H51" s="7">
        <v>42</v>
      </c>
      <c r="I51" s="7">
        <v>0</v>
      </c>
      <c r="J51" s="7">
        <v>2</v>
      </c>
      <c r="K51">
        <f t="shared" si="0"/>
        <v>44</v>
      </c>
    </row>
    <row r="52" spans="1:11" x14ac:dyDescent="0.25">
      <c r="A52" t="s">
        <v>161</v>
      </c>
      <c r="B52">
        <v>1</v>
      </c>
      <c r="C52" s="5" t="s">
        <v>42</v>
      </c>
      <c r="D52" t="s">
        <v>42</v>
      </c>
      <c r="E52" t="s">
        <v>105</v>
      </c>
      <c r="F52">
        <v>100</v>
      </c>
      <c r="G52" s="6">
        <v>0</v>
      </c>
      <c r="H52" s="7">
        <v>42</v>
      </c>
      <c r="I52" s="7">
        <v>0</v>
      </c>
      <c r="J52" s="7">
        <v>2</v>
      </c>
      <c r="K52">
        <f t="shared" si="0"/>
        <v>44</v>
      </c>
    </row>
    <row r="53" spans="1:11" x14ac:dyDescent="0.25">
      <c r="A53" t="s">
        <v>162</v>
      </c>
      <c r="B53">
        <v>1</v>
      </c>
      <c r="C53" s="5" t="s">
        <v>40</v>
      </c>
      <c r="D53" t="s">
        <v>54</v>
      </c>
      <c r="E53" t="s">
        <v>106</v>
      </c>
      <c r="F53">
        <v>200</v>
      </c>
      <c r="G53" s="6">
        <v>0</v>
      </c>
      <c r="H53" s="7">
        <v>42</v>
      </c>
      <c r="I53" s="7">
        <v>0</v>
      </c>
      <c r="J53" s="7">
        <v>2</v>
      </c>
      <c r="K53">
        <f t="shared" si="0"/>
        <v>44</v>
      </c>
    </row>
    <row r="54" spans="1:11" x14ac:dyDescent="0.25">
      <c r="A54" t="s">
        <v>163</v>
      </c>
      <c r="B54">
        <v>1</v>
      </c>
      <c r="C54" s="5" t="s">
        <v>40</v>
      </c>
      <c r="D54" t="s">
        <v>54</v>
      </c>
      <c r="E54" t="s">
        <v>107</v>
      </c>
      <c r="F54">
        <v>150</v>
      </c>
      <c r="G54" s="6">
        <v>0</v>
      </c>
      <c r="H54" s="7">
        <v>42</v>
      </c>
      <c r="I54" s="7">
        <v>0</v>
      </c>
      <c r="J54" s="7">
        <v>2</v>
      </c>
      <c r="K54">
        <f t="shared" si="0"/>
        <v>44</v>
      </c>
    </row>
    <row r="55" spans="1:11" x14ac:dyDescent="0.25">
      <c r="A55" t="s">
        <v>164</v>
      </c>
      <c r="B55">
        <v>1</v>
      </c>
      <c r="C55" s="5" t="s">
        <v>40</v>
      </c>
      <c r="D55" t="s">
        <v>54</v>
      </c>
      <c r="E55" t="s">
        <v>108</v>
      </c>
      <c r="F55">
        <v>80</v>
      </c>
      <c r="G55" s="6">
        <v>0</v>
      </c>
      <c r="H55" s="7">
        <v>42</v>
      </c>
      <c r="I55" s="7">
        <v>0</v>
      </c>
      <c r="J55" s="7">
        <v>2</v>
      </c>
      <c r="K55">
        <f t="shared" si="0"/>
        <v>44</v>
      </c>
    </row>
    <row r="56" spans="1:11" x14ac:dyDescent="0.25">
      <c r="A56" t="s">
        <v>165</v>
      </c>
      <c r="B56">
        <v>1</v>
      </c>
      <c r="C56" s="3" t="s">
        <v>40</v>
      </c>
      <c r="D56" t="s">
        <v>49</v>
      </c>
      <c r="E56" t="s">
        <v>109</v>
      </c>
      <c r="F56">
        <v>100</v>
      </c>
      <c r="G56" s="6">
        <v>0</v>
      </c>
      <c r="H56" s="7">
        <v>42</v>
      </c>
      <c r="I56" s="7">
        <v>0</v>
      </c>
      <c r="J56" s="7">
        <v>2</v>
      </c>
      <c r="K56">
        <f t="shared" si="0"/>
        <v>44</v>
      </c>
    </row>
    <row r="57" spans="1:11" x14ac:dyDescent="0.25">
      <c r="A57" t="s">
        <v>166</v>
      </c>
      <c r="B57">
        <v>1</v>
      </c>
      <c r="C57" s="3" t="s">
        <v>40</v>
      </c>
      <c r="D57" t="s">
        <v>49</v>
      </c>
      <c r="E57" t="s">
        <v>110</v>
      </c>
      <c r="F57">
        <v>100</v>
      </c>
      <c r="G57" s="6">
        <v>0</v>
      </c>
      <c r="H57" s="7">
        <v>42</v>
      </c>
      <c r="I57" s="7">
        <v>0</v>
      </c>
      <c r="J57" s="7">
        <v>2</v>
      </c>
      <c r="K57">
        <f t="shared" si="0"/>
        <v>44</v>
      </c>
    </row>
    <row r="58" spans="1:11" x14ac:dyDescent="0.25">
      <c r="A58" t="s">
        <v>167</v>
      </c>
      <c r="B58">
        <v>1</v>
      </c>
      <c r="C58" t="s">
        <v>30</v>
      </c>
      <c r="D58" t="s">
        <v>60</v>
      </c>
      <c r="E58" t="s">
        <v>111</v>
      </c>
      <c r="F58">
        <v>200</v>
      </c>
      <c r="G58" s="6">
        <v>6</v>
      </c>
      <c r="H58" s="6">
        <v>24</v>
      </c>
      <c r="I58" s="7">
        <v>0</v>
      </c>
      <c r="J58" s="6">
        <v>2</v>
      </c>
      <c r="K58">
        <f t="shared" si="0"/>
        <v>32</v>
      </c>
    </row>
    <row r="59" spans="1:11" x14ac:dyDescent="0.25">
      <c r="A59" t="s">
        <v>168</v>
      </c>
      <c r="B59">
        <v>1</v>
      </c>
      <c r="C59" s="5" t="s">
        <v>40</v>
      </c>
      <c r="D59" t="s">
        <v>54</v>
      </c>
      <c r="E59" t="s">
        <v>112</v>
      </c>
      <c r="F59">
        <v>150</v>
      </c>
      <c r="G59" s="6">
        <v>0</v>
      </c>
      <c r="H59" s="7">
        <v>42</v>
      </c>
      <c r="I59" s="7">
        <v>0</v>
      </c>
      <c r="J59" s="7">
        <v>2</v>
      </c>
      <c r="K59">
        <f t="shared" si="0"/>
        <v>44</v>
      </c>
    </row>
    <row r="60" spans="1:11" x14ac:dyDescent="0.25">
      <c r="A60" t="s">
        <v>169</v>
      </c>
      <c r="B60">
        <v>1</v>
      </c>
      <c r="C60" s="3" t="s">
        <v>40</v>
      </c>
      <c r="D60" t="s">
        <v>54</v>
      </c>
      <c r="E60" t="s">
        <v>113</v>
      </c>
      <c r="F60">
        <v>80</v>
      </c>
      <c r="G60" s="6">
        <v>0</v>
      </c>
      <c r="H60" s="7">
        <v>42</v>
      </c>
      <c r="I60" s="7">
        <v>0</v>
      </c>
      <c r="J60" s="7">
        <v>2</v>
      </c>
      <c r="K60">
        <f t="shared" si="0"/>
        <v>44</v>
      </c>
    </row>
    <row r="61" spans="1:11" x14ac:dyDescent="0.25">
      <c r="A61" t="s">
        <v>170</v>
      </c>
      <c r="B61">
        <v>1</v>
      </c>
      <c r="C61" t="s">
        <v>35</v>
      </c>
      <c r="D61" t="s">
        <v>114</v>
      </c>
      <c r="E61" t="s">
        <v>115</v>
      </c>
      <c r="F61">
        <v>100</v>
      </c>
      <c r="G61" s="6">
        <v>0</v>
      </c>
      <c r="H61" s="7">
        <v>42</v>
      </c>
      <c r="I61" s="7">
        <v>0</v>
      </c>
      <c r="J61" s="7">
        <v>2</v>
      </c>
      <c r="K61">
        <f t="shared" si="0"/>
        <v>44</v>
      </c>
    </row>
  </sheetData>
  <phoneticPr fontId="2" type="noConversion"/>
  <pageMargins left="0.75" right="0.75" top="1" bottom="1" header="0.5" footer="0.5"/>
  <headerFooter>
    <oddHeader>&amp;L&amp;"Aptos"&amp;10&amp;K000000 Interno&amp;1#_x000D_</oddHeader>
    <oddFooter>&amp;R_x000D_&amp;1#&amp;"Aptos"&amp;10&amp;K000000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E13" sqref="E13"/>
    </sheetView>
  </sheetViews>
  <sheetFormatPr defaultRowHeight="15" x14ac:dyDescent="0.25"/>
  <cols>
    <col min="1" max="1" width="7.140625" bestFit="1" customWidth="1"/>
    <col min="2" max="3" width="18.28515625" bestFit="1" customWidth="1"/>
  </cols>
  <sheetData>
    <row r="1" spans="1:3" x14ac:dyDescent="0.25">
      <c r="A1" s="1" t="s">
        <v>0</v>
      </c>
      <c r="B1" s="1" t="s">
        <v>36</v>
      </c>
      <c r="C1" s="1" t="s">
        <v>37</v>
      </c>
    </row>
    <row r="2" spans="1:3" x14ac:dyDescent="0.25">
      <c r="A2" t="s">
        <v>7</v>
      </c>
      <c r="B2" s="2">
        <v>46132</v>
      </c>
      <c r="C2" s="2">
        <v>46152</v>
      </c>
    </row>
    <row r="3" spans="1:3" x14ac:dyDescent="0.25">
      <c r="A3" t="s">
        <v>5</v>
      </c>
      <c r="B3" s="2">
        <v>46097</v>
      </c>
      <c r="C3" s="2">
        <v>46105</v>
      </c>
    </row>
  </sheetData>
  <pageMargins left="0.75" right="0.75" top="1" bottom="1" header="0.5" footer="0.5"/>
  <headerFooter>
    <oddHeader>&amp;L&amp;"Aptos"&amp;10&amp;K000000 Interno&amp;1#_x000D_</oddHeader>
    <oddFooter>&amp;R_x000D_&amp;1#&amp;"Aptos"&amp;10&amp;K000000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D6" sqref="D6"/>
    </sheetView>
  </sheetViews>
  <sheetFormatPr defaultRowHeight="15" x14ac:dyDescent="0.25"/>
  <cols>
    <col min="2" max="3" width="18.28515625" bestFit="1" customWidth="1"/>
  </cols>
  <sheetData>
    <row r="1" spans="1:3" x14ac:dyDescent="0.25">
      <c r="A1" s="1" t="s">
        <v>38</v>
      </c>
      <c r="B1" s="1" t="s">
        <v>36</v>
      </c>
      <c r="C1" s="1" t="s">
        <v>37</v>
      </c>
    </row>
    <row r="2" spans="1:3" x14ac:dyDescent="0.25">
      <c r="A2">
        <v>1</v>
      </c>
      <c r="B2" s="2">
        <v>46118</v>
      </c>
      <c r="C2" s="2">
        <v>46129</v>
      </c>
    </row>
    <row r="3" spans="1:3" x14ac:dyDescent="0.25">
      <c r="A3">
        <v>2</v>
      </c>
      <c r="B3" s="2">
        <v>46132</v>
      </c>
      <c r="C3" s="2">
        <v>46143</v>
      </c>
    </row>
    <row r="4" spans="1:3" x14ac:dyDescent="0.25">
      <c r="A4">
        <v>3</v>
      </c>
      <c r="B4" s="2">
        <v>46146</v>
      </c>
      <c r="C4" s="2">
        <v>46157</v>
      </c>
    </row>
    <row r="5" spans="1:3" x14ac:dyDescent="0.25">
      <c r="A5">
        <v>4</v>
      </c>
      <c r="B5" s="2">
        <v>46160</v>
      </c>
      <c r="C5" s="2">
        <v>46171</v>
      </c>
    </row>
    <row r="6" spans="1:3" x14ac:dyDescent="0.25">
      <c r="A6">
        <v>5</v>
      </c>
      <c r="B6" s="2">
        <v>46174</v>
      </c>
      <c r="C6" s="2">
        <v>46185</v>
      </c>
    </row>
    <row r="7" spans="1:3" x14ac:dyDescent="0.25">
      <c r="A7">
        <v>6</v>
      </c>
      <c r="B7" s="2">
        <v>46188</v>
      </c>
      <c r="C7" s="2">
        <v>46199</v>
      </c>
    </row>
    <row r="8" spans="1:3" x14ac:dyDescent="0.25">
      <c r="A8">
        <v>7</v>
      </c>
      <c r="B8" s="2">
        <v>46202</v>
      </c>
      <c r="C8" s="2">
        <v>46213</v>
      </c>
    </row>
    <row r="9" spans="1:3" x14ac:dyDescent="0.25">
      <c r="A9">
        <v>8</v>
      </c>
      <c r="B9" s="2">
        <v>46216</v>
      </c>
      <c r="C9" s="2">
        <v>46227</v>
      </c>
    </row>
    <row r="10" spans="1:3" x14ac:dyDescent="0.25">
      <c r="A10">
        <v>9</v>
      </c>
      <c r="B10" s="2">
        <v>46230</v>
      </c>
      <c r="C10" s="2">
        <v>46241</v>
      </c>
    </row>
    <row r="11" spans="1:3" x14ac:dyDescent="0.25">
      <c r="A11">
        <v>10</v>
      </c>
      <c r="B11" s="2">
        <v>46244</v>
      </c>
      <c r="C11" s="2">
        <v>46255</v>
      </c>
    </row>
    <row r="12" spans="1:3" x14ac:dyDescent="0.25">
      <c r="A12">
        <v>11</v>
      </c>
      <c r="B12" s="2">
        <v>46258</v>
      </c>
      <c r="C12" s="2">
        <v>46269</v>
      </c>
    </row>
    <row r="13" spans="1:3" x14ac:dyDescent="0.25">
      <c r="A13">
        <v>12</v>
      </c>
      <c r="B13" s="2">
        <v>46272</v>
      </c>
      <c r="C13" s="2">
        <v>46283</v>
      </c>
    </row>
    <row r="14" spans="1:3" x14ac:dyDescent="0.25">
      <c r="A14">
        <v>13</v>
      </c>
      <c r="B14" s="2">
        <v>46286</v>
      </c>
      <c r="C14" s="2">
        <v>46297</v>
      </c>
    </row>
    <row r="15" spans="1:3" x14ac:dyDescent="0.25">
      <c r="A15">
        <v>14</v>
      </c>
      <c r="B15" s="2">
        <v>46300</v>
      </c>
      <c r="C15" s="2">
        <v>46311</v>
      </c>
    </row>
    <row r="16" spans="1:3" x14ac:dyDescent="0.25">
      <c r="A16">
        <v>15</v>
      </c>
      <c r="B16" s="2">
        <v>46314</v>
      </c>
      <c r="C16" s="2">
        <v>46325</v>
      </c>
    </row>
    <row r="17" spans="1:3" x14ac:dyDescent="0.25">
      <c r="A17">
        <v>16</v>
      </c>
      <c r="B17" s="2">
        <v>46328</v>
      </c>
      <c r="C17" s="2">
        <v>46339</v>
      </c>
    </row>
    <row r="18" spans="1:3" x14ac:dyDescent="0.25">
      <c r="A18">
        <v>17</v>
      </c>
      <c r="B18" s="2">
        <v>46342</v>
      </c>
      <c r="C18" s="2">
        <v>46353</v>
      </c>
    </row>
    <row r="19" spans="1:3" x14ac:dyDescent="0.25">
      <c r="A19">
        <v>18</v>
      </c>
      <c r="B19" s="2">
        <v>46356</v>
      </c>
      <c r="C19" s="2">
        <v>46367</v>
      </c>
    </row>
    <row r="20" spans="1:3" x14ac:dyDescent="0.25">
      <c r="A20">
        <v>19</v>
      </c>
      <c r="B20" s="2">
        <v>46370</v>
      </c>
      <c r="C20" s="2">
        <v>46381</v>
      </c>
    </row>
    <row r="21" spans="1:3" x14ac:dyDescent="0.25">
      <c r="A21">
        <v>20</v>
      </c>
      <c r="B21" s="2">
        <v>46384</v>
      </c>
      <c r="C21" s="2">
        <v>46395</v>
      </c>
    </row>
  </sheetData>
  <pageMargins left="0.75" right="0.75" top="1" bottom="1" header="0.5" footer="0.5"/>
  <headerFooter>
    <oddHeader>&amp;L&amp;"Aptos"&amp;10&amp;K000000 Interno&amp;1#_x000D_</oddHeader>
    <oddFooter>&amp;R_x000D_&amp;1#&amp;"Aptos"&amp;10&amp;K000000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Team</vt:lpstr>
      <vt:lpstr>Backlog</vt:lpstr>
      <vt:lpstr>Vacations</vt:lpstr>
      <vt:lpstr>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Amancio Diegues</cp:lastModifiedBy>
  <dcterms:created xsi:type="dcterms:W3CDTF">2026-03-12T22:57:58Z</dcterms:created>
  <dcterms:modified xsi:type="dcterms:W3CDTF">2026-03-16T22:16:52Z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88130d-5101-4830-99be-3b599ae91491_Enabled">
    <vt:lpwstr>true</vt:lpwstr>
  </property>
  <property fmtid="{D5CDD505-2E9C-101B-9397-08002B2CF9AE}" pid="3" name="MSIP_Label_6288130d-5101-4830-99be-3b599ae91491_SetDate">
    <vt:lpwstr>2026-03-12T23:07:23Z</vt:lpwstr>
  </property>
  <property fmtid="{D5CDD505-2E9C-101B-9397-08002B2CF9AE}" pid="4" name="MSIP_Label_6288130d-5101-4830-99be-3b599ae91491_Method">
    <vt:lpwstr>Privileged</vt:lpwstr>
  </property>
  <property fmtid="{D5CDD505-2E9C-101B-9397-08002B2CF9AE}" pid="5" name="MSIP_Label_6288130d-5101-4830-99be-3b599ae91491_Name">
    <vt:lpwstr>Interno</vt:lpwstr>
  </property>
  <property fmtid="{D5CDD505-2E9C-101B-9397-08002B2CF9AE}" pid="6" name="MSIP_Label_6288130d-5101-4830-99be-3b599ae91491_SiteId">
    <vt:lpwstr>a38e94f2-456e-47b2-b626-d54f18cebc92</vt:lpwstr>
  </property>
  <property fmtid="{D5CDD505-2E9C-101B-9397-08002B2CF9AE}" pid="7" name="MSIP_Label_6288130d-5101-4830-99be-3b599ae91491_ActionId">
    <vt:lpwstr>f169d2e3-5366-47dd-9e5d-34c20bd8a18c</vt:lpwstr>
  </property>
  <property fmtid="{D5CDD505-2E9C-101B-9397-08002B2CF9AE}" pid="8" name="MSIP_Label_6288130d-5101-4830-99be-3b599ae91491_ContentBits">
    <vt:lpwstr>3</vt:lpwstr>
  </property>
  <property fmtid="{D5CDD505-2E9C-101B-9397-08002B2CF9AE}" pid="9" name="MSIP_Label_6288130d-5101-4830-99be-3b599ae91491_Tag">
    <vt:lpwstr>10, 0, 1, 1</vt:lpwstr>
  </property>
</Properties>
</file>